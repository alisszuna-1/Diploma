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7050" tabRatio="500" firstSheet="2" activeTab="2"/>
  </bookViews>
  <sheets>
    <sheet name="Dataset" sheetId="1" r:id="rId1"/>
    <sheet name="Codebook" sheetId="2" r:id="rId2"/>
    <sheet name="T5.1 Descriptives" sheetId="3" r:id="rId3"/>
    <sheet name="T5.2 t-Test" sheetId="4" r:id="rId4"/>
    <sheet name="Fig5.3 Correlation" sheetId="5" r:id="rId5"/>
    <sheet name="ML Test Set" sheetId="6" r:id="rId6"/>
    <sheet name="T5.3 Model Metrics" sheetId="7" r:id="rId7"/>
  </sheets>
  <definedNames>
    <definedName name="_xlnm._FilterDatabase" localSheetId="0" hidden="1">Dataset!$A$1:$L$181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7" i="6" l="1"/>
  <c r="F57" i="6"/>
  <c r="D57" i="6"/>
  <c r="B57" i="6"/>
  <c r="H56" i="6"/>
  <c r="F56" i="6"/>
  <c r="D56" i="6"/>
  <c r="B56" i="6"/>
  <c r="H55" i="6"/>
  <c r="F55" i="6"/>
  <c r="D55" i="6"/>
  <c r="B55" i="6"/>
  <c r="H54" i="6"/>
  <c r="F54" i="6"/>
  <c r="D54" i="6"/>
  <c r="B54" i="6"/>
  <c r="H53" i="6"/>
  <c r="F53" i="6"/>
  <c r="D53" i="6"/>
  <c r="B53" i="6"/>
  <c r="H52" i="6"/>
  <c r="F52" i="6"/>
  <c r="D52" i="6"/>
  <c r="B52" i="6"/>
  <c r="H51" i="6"/>
  <c r="F51" i="6"/>
  <c r="D51" i="6"/>
  <c r="B51" i="6"/>
  <c r="H50" i="6"/>
  <c r="F50" i="6"/>
  <c r="D50" i="6"/>
  <c r="B50" i="6"/>
  <c r="H49" i="6"/>
  <c r="F49" i="6"/>
  <c r="D49" i="6"/>
  <c r="B49" i="6"/>
  <c r="H48" i="6"/>
  <c r="F48" i="6"/>
  <c r="D48" i="6"/>
  <c r="B48" i="6"/>
  <c r="H47" i="6"/>
  <c r="F47" i="6"/>
  <c r="D47" i="6"/>
  <c r="B47" i="6"/>
  <c r="H46" i="6"/>
  <c r="F46" i="6"/>
  <c r="D46" i="6"/>
  <c r="B46" i="6"/>
  <c r="H45" i="6"/>
  <c r="F45" i="6"/>
  <c r="D45" i="6"/>
  <c r="B45" i="6"/>
  <c r="H44" i="6"/>
  <c r="F44" i="6"/>
  <c r="D44" i="6"/>
  <c r="B44" i="6"/>
  <c r="H43" i="6"/>
  <c r="F43" i="6"/>
  <c r="D43" i="6"/>
  <c r="B43" i="6"/>
  <c r="H42" i="6"/>
  <c r="F42" i="6"/>
  <c r="D42" i="6"/>
  <c r="B42" i="6"/>
  <c r="H41" i="6"/>
  <c r="F41" i="6"/>
  <c r="D41" i="6"/>
  <c r="B41" i="6"/>
  <c r="H40" i="6"/>
  <c r="F40" i="6"/>
  <c r="D40" i="6"/>
  <c r="B40" i="6"/>
  <c r="H39" i="6"/>
  <c r="F39" i="6"/>
  <c r="D39" i="6"/>
  <c r="B39" i="6"/>
  <c r="H38" i="6"/>
  <c r="F38" i="6"/>
  <c r="D38" i="6"/>
  <c r="B38" i="6"/>
  <c r="H37" i="6"/>
  <c r="F37" i="6"/>
  <c r="D37" i="6"/>
  <c r="B37" i="6"/>
  <c r="H36" i="6"/>
  <c r="F36" i="6"/>
  <c r="D36" i="6"/>
  <c r="B36" i="6"/>
  <c r="H35" i="6"/>
  <c r="F35" i="6"/>
  <c r="D35" i="6"/>
  <c r="B35" i="6"/>
  <c r="H34" i="6"/>
  <c r="F34" i="6"/>
  <c r="D34" i="6"/>
  <c r="B34" i="6"/>
  <c r="H33" i="6"/>
  <c r="F33" i="6"/>
  <c r="D33" i="6"/>
  <c r="B33" i="6"/>
  <c r="H32" i="6"/>
  <c r="F32" i="6"/>
  <c r="D32" i="6"/>
  <c r="B32" i="6"/>
  <c r="H31" i="6"/>
  <c r="F31" i="6"/>
  <c r="D31" i="6"/>
  <c r="B31" i="6"/>
  <c r="H30" i="6"/>
  <c r="F30" i="6"/>
  <c r="D30" i="6"/>
  <c r="B30" i="6"/>
  <c r="H29" i="6"/>
  <c r="F29" i="6"/>
  <c r="D29" i="6"/>
  <c r="B29" i="6"/>
  <c r="H28" i="6"/>
  <c r="F28" i="6"/>
  <c r="D28" i="6"/>
  <c r="B28" i="6"/>
  <c r="H27" i="6"/>
  <c r="F27" i="6"/>
  <c r="D27" i="6"/>
  <c r="B27" i="6"/>
  <c r="H26" i="6"/>
  <c r="F26" i="6"/>
  <c r="D26" i="6"/>
  <c r="B26" i="6"/>
  <c r="H25" i="6"/>
  <c r="F25" i="6"/>
  <c r="D25" i="6"/>
  <c r="B25" i="6"/>
  <c r="H24" i="6"/>
  <c r="F24" i="6"/>
  <c r="D24" i="6"/>
  <c r="B24" i="6"/>
  <c r="H23" i="6"/>
  <c r="F23" i="6"/>
  <c r="D23" i="6"/>
  <c r="B23" i="6"/>
  <c r="H22" i="6"/>
  <c r="F22" i="6"/>
  <c r="D22" i="6"/>
  <c r="B22" i="6"/>
  <c r="H21" i="6"/>
  <c r="F21" i="6"/>
  <c r="D21" i="6"/>
  <c r="B21" i="6"/>
  <c r="H20" i="6"/>
  <c r="F20" i="6"/>
  <c r="D20" i="6"/>
  <c r="B20" i="6"/>
  <c r="H19" i="6"/>
  <c r="F19" i="6"/>
  <c r="D19" i="6"/>
  <c r="B19" i="6"/>
  <c r="H18" i="6"/>
  <c r="F18" i="6"/>
  <c r="D18" i="6"/>
  <c r="B18" i="6"/>
  <c r="H17" i="6"/>
  <c r="F17" i="6"/>
  <c r="D17" i="6"/>
  <c r="B17" i="6"/>
  <c r="H16" i="6"/>
  <c r="F16" i="6"/>
  <c r="D16" i="6"/>
  <c r="B16" i="6"/>
  <c r="H15" i="6"/>
  <c r="F15" i="6"/>
  <c r="D15" i="6"/>
  <c r="B15" i="6"/>
  <c r="H14" i="6"/>
  <c r="F14" i="6"/>
  <c r="D14" i="6"/>
  <c r="B14" i="6"/>
  <c r="H13" i="6"/>
  <c r="F13" i="6"/>
  <c r="D13" i="6"/>
  <c r="B13" i="6"/>
  <c r="H12" i="6"/>
  <c r="F12" i="6"/>
  <c r="D12" i="6"/>
  <c r="B12" i="6"/>
  <c r="H11" i="6"/>
  <c r="F11" i="6"/>
  <c r="D11" i="6"/>
  <c r="B11" i="6"/>
  <c r="H10" i="6"/>
  <c r="F10" i="6"/>
  <c r="D10" i="6"/>
  <c r="B10" i="6"/>
  <c r="H9" i="6"/>
  <c r="F9" i="6"/>
  <c r="D9" i="6"/>
  <c r="B9" i="6"/>
  <c r="H8" i="6"/>
  <c r="F8" i="6"/>
  <c r="D8" i="6"/>
  <c r="B8" i="6"/>
  <c r="H7" i="6"/>
  <c r="F7" i="6"/>
  <c r="D7" i="6"/>
  <c r="B7" i="6"/>
  <c r="H6" i="6"/>
  <c r="F6" i="6"/>
  <c r="D6" i="6"/>
  <c r="B6" i="6"/>
  <c r="H5" i="6"/>
  <c r="F5" i="6"/>
  <c r="D5" i="6"/>
  <c r="B5" i="6"/>
  <c r="H4" i="6"/>
  <c r="F4" i="6"/>
  <c r="D4" i="6"/>
  <c r="B4" i="6"/>
  <c r="C6" i="7" s="1"/>
  <c r="I11" i="5"/>
  <c r="H11" i="5"/>
  <c r="G11" i="5"/>
  <c r="F11" i="5"/>
  <c r="E11" i="5"/>
  <c r="D11" i="5"/>
  <c r="C11" i="5"/>
  <c r="B11" i="5"/>
  <c r="I10" i="5"/>
  <c r="H10" i="5"/>
  <c r="G10" i="5"/>
  <c r="F10" i="5"/>
  <c r="E10" i="5"/>
  <c r="D10" i="5"/>
  <c r="C10" i="5"/>
  <c r="B10" i="5"/>
  <c r="I9" i="5"/>
  <c r="H9" i="5"/>
  <c r="G9" i="5"/>
  <c r="F9" i="5"/>
  <c r="E9" i="5"/>
  <c r="D9" i="5"/>
  <c r="C9" i="5"/>
  <c r="B9" i="5"/>
  <c r="I8" i="5"/>
  <c r="H8" i="5"/>
  <c r="G8" i="5"/>
  <c r="F8" i="5"/>
  <c r="E8" i="5"/>
  <c r="D8" i="5"/>
  <c r="C8" i="5"/>
  <c r="B8" i="5"/>
  <c r="I7" i="5"/>
  <c r="H7" i="5"/>
  <c r="G7" i="5"/>
  <c r="F7" i="5"/>
  <c r="E7" i="5"/>
  <c r="D7" i="5"/>
  <c r="C7" i="5"/>
  <c r="B7" i="5"/>
  <c r="I6" i="5"/>
  <c r="H6" i="5"/>
  <c r="G6" i="5"/>
  <c r="F6" i="5"/>
  <c r="E6" i="5"/>
  <c r="D6" i="5"/>
  <c r="C6" i="5"/>
  <c r="B6" i="5"/>
  <c r="I5" i="5"/>
  <c r="H5" i="5"/>
  <c r="G5" i="5"/>
  <c r="F5" i="5"/>
  <c r="E5" i="5"/>
  <c r="D5" i="5"/>
  <c r="C5" i="5"/>
  <c r="B5" i="5"/>
  <c r="I4" i="5"/>
  <c r="H4" i="5"/>
  <c r="G4" i="5"/>
  <c r="F4" i="5"/>
  <c r="E4" i="5"/>
  <c r="D4" i="5"/>
  <c r="C4" i="5"/>
  <c r="B4" i="5"/>
  <c r="B24" i="5" s="1"/>
  <c r="F11" i="4"/>
  <c r="G11" i="4" s="1"/>
  <c r="D11" i="4"/>
  <c r="H11" i="4" s="1"/>
  <c r="C11" i="4"/>
  <c r="B11" i="4"/>
  <c r="F10" i="4"/>
  <c r="G10" i="4" s="1"/>
  <c r="D10" i="4"/>
  <c r="E10" i="4" s="1"/>
  <c r="C10" i="4"/>
  <c r="B10" i="4"/>
  <c r="F9" i="4"/>
  <c r="G9" i="4" s="1"/>
  <c r="D9" i="4"/>
  <c r="E9" i="4" s="1"/>
  <c r="C9" i="4"/>
  <c r="B9" i="4"/>
  <c r="F8" i="4"/>
  <c r="G8" i="4" s="1"/>
  <c r="D8" i="4"/>
  <c r="C8" i="4"/>
  <c r="B8" i="4"/>
  <c r="F7" i="4"/>
  <c r="G7" i="4" s="1"/>
  <c r="D7" i="4"/>
  <c r="E7" i="4" s="1"/>
  <c r="C7" i="4"/>
  <c r="B7" i="4"/>
  <c r="F6" i="4"/>
  <c r="G6" i="4" s="1"/>
  <c r="D6" i="4"/>
  <c r="H6" i="4" s="1"/>
  <c r="C6" i="4"/>
  <c r="B6" i="4"/>
  <c r="F5" i="4"/>
  <c r="G5" i="4" s="1"/>
  <c r="D5" i="4"/>
  <c r="E5" i="4" s="1"/>
  <c r="C5" i="4"/>
  <c r="B5" i="4"/>
  <c r="F4" i="4"/>
  <c r="G4" i="4" s="1"/>
  <c r="D4" i="4"/>
  <c r="H4" i="4" s="1"/>
  <c r="C4" i="4"/>
  <c r="B4" i="4"/>
  <c r="F11" i="3"/>
  <c r="E11" i="3"/>
  <c r="D11" i="3"/>
  <c r="C11" i="3"/>
  <c r="L11" i="3" s="1"/>
  <c r="B11" i="3"/>
  <c r="F10" i="3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L7" i="3" s="1"/>
  <c r="B7" i="3"/>
  <c r="F6" i="3"/>
  <c r="E6" i="3"/>
  <c r="D6" i="3"/>
  <c r="C6" i="3"/>
  <c r="B6" i="3"/>
  <c r="F5" i="3"/>
  <c r="E5" i="3"/>
  <c r="D5" i="3"/>
  <c r="C5" i="3"/>
  <c r="B5" i="3"/>
  <c r="F4" i="3"/>
  <c r="E4" i="3"/>
  <c r="D4" i="3"/>
  <c r="C4" i="3"/>
  <c r="B4" i="3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J5" i="4" l="1"/>
  <c r="J7" i="4"/>
  <c r="H8" i="4"/>
  <c r="J10" i="4"/>
  <c r="L4" i="3"/>
  <c r="L8" i="3"/>
  <c r="L5" i="3"/>
  <c r="L9" i="3"/>
  <c r="L6" i="3"/>
  <c r="L10" i="3"/>
  <c r="J9" i="4"/>
  <c r="H5" i="4"/>
  <c r="I5" i="4" s="1"/>
  <c r="H7" i="4"/>
  <c r="I7" i="4" s="1"/>
  <c r="H9" i="4"/>
  <c r="I9" i="4" s="1"/>
  <c r="H10" i="4"/>
  <c r="I10" i="4" s="1"/>
  <c r="E4" i="4"/>
  <c r="J4" i="4" s="1"/>
  <c r="E6" i="4"/>
  <c r="J6" i="4" s="1"/>
  <c r="E8" i="4"/>
  <c r="J8" i="4" s="1"/>
  <c r="E11" i="4"/>
  <c r="J11" i="4" s="1"/>
  <c r="D4" i="7"/>
  <c r="B5" i="7"/>
  <c r="J5" i="7"/>
  <c r="D6" i="7"/>
  <c r="E4" i="7"/>
  <c r="C5" i="7"/>
  <c r="E6" i="7"/>
  <c r="B4" i="7"/>
  <c r="J4" i="7"/>
  <c r="D5" i="7"/>
  <c r="B6" i="7"/>
  <c r="F6" i="7" s="1"/>
  <c r="J6" i="7"/>
  <c r="C4" i="7"/>
  <c r="E5" i="7"/>
  <c r="G6" i="7" l="1"/>
  <c r="H6" i="7"/>
  <c r="K9" i="4"/>
  <c r="L9" i="4" s="1"/>
  <c r="P9" i="4"/>
  <c r="H5" i="7"/>
  <c r="G5" i="7"/>
  <c r="I5" i="7" s="1"/>
  <c r="F5" i="7"/>
  <c r="Q5" i="7" s="1"/>
  <c r="K7" i="4"/>
  <c r="L7" i="4" s="1"/>
  <c r="P7" i="4"/>
  <c r="I8" i="4"/>
  <c r="G4" i="7"/>
  <c r="H4" i="7"/>
  <c r="K5" i="4"/>
  <c r="L5" i="4" s="1"/>
  <c r="P5" i="4"/>
  <c r="I6" i="4"/>
  <c r="F4" i="7"/>
  <c r="K10" i="4"/>
  <c r="L10" i="4" s="1"/>
  <c r="P10" i="4"/>
  <c r="I11" i="4"/>
  <c r="I4" i="4"/>
  <c r="K4" i="4" l="1"/>
  <c r="L4" i="4" s="1"/>
  <c r="P4" i="4"/>
  <c r="K11" i="4"/>
  <c r="L11" i="4" s="1"/>
  <c r="P11" i="4"/>
  <c r="K6" i="4"/>
  <c r="L6" i="4" s="1"/>
  <c r="P6" i="4"/>
  <c r="I4" i="7"/>
  <c r="Q4" i="7" s="1"/>
  <c r="K8" i="4"/>
  <c r="L8" i="4" s="1"/>
  <c r="P8" i="4"/>
  <c r="I6" i="7"/>
  <c r="Q6" i="7" s="1"/>
</calcChain>
</file>

<file path=xl/sharedStrings.xml><?xml version="1.0" encoding="utf-8"?>
<sst xmlns="http://schemas.openxmlformats.org/spreadsheetml/2006/main" count="619" uniqueCount="299">
  <si>
    <t>Firm_ID</t>
  </si>
  <si>
    <t>Status</t>
  </si>
  <si>
    <t>Status_Label</t>
  </si>
  <si>
    <t>Sample</t>
  </si>
  <si>
    <t>Current_Ratio</t>
  </si>
  <si>
    <t>Quick_Ratio</t>
  </si>
  <si>
    <t>Debt_to_Equity</t>
  </si>
  <si>
    <t>Interest_Coverage</t>
  </si>
  <si>
    <t>ROA</t>
  </si>
  <si>
    <t>Net_Profit_Margin</t>
  </si>
  <si>
    <t>Asset_Turnover</t>
  </si>
  <si>
    <t>Firm_Size_lnTA</t>
  </si>
  <si>
    <t>F001</t>
  </si>
  <si>
    <t>Train</t>
  </si>
  <si>
    <t>F002</t>
  </si>
  <si>
    <t>F003</t>
  </si>
  <si>
    <t>F004</t>
  </si>
  <si>
    <t>F005</t>
  </si>
  <si>
    <t>F006</t>
  </si>
  <si>
    <t>F007</t>
  </si>
  <si>
    <t>F008</t>
  </si>
  <si>
    <t>Test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</si>
  <si>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</si>
  <si>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</si>
  <si>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</si>
  <si>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</si>
  <si>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</si>
  <si>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</si>
  <si>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</si>
  <si>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</si>
  <si>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</si>
  <si>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</si>
  <si>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</si>
  <si>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</si>
  <si>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</si>
  <si>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</si>
  <si>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</si>
  <si>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</si>
  <si>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</si>
  <si>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</si>
  <si>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</si>
  <si>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</si>
  <si>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</si>
  <si>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</si>
  <si>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</si>
  <si>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</si>
  <si>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</si>
  <si>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</si>
  <si>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</si>
  <si>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</si>
  <si>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</si>
  <si>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</si>
  <si>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</si>
  <si>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</si>
  <si>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</si>
  <si>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</si>
  <si>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</si>
  <si>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</si>
  <si>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</si>
  <si>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</si>
  <si>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</si>
  <si>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</si>
  <si>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</si>
  <si>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</si>
  <si>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</si>
  <si>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</si>
  <si>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</si>
  <si>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</si>
  <si>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</si>
  <si>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</si>
  <si>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</si>
  <si>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</si>
  <si>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</si>
  <si>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</si>
  <si>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</si>
  <si>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</si>
  <si>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</si>
  <si>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</si>
  <si>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</si>
  <si>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</si>
  <si>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</si>
  <si>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</si>
  <si>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</si>
  <si>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</si>
  <si>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</si>
  <si>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</si>
  <si>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F073</t>
  </si>
  <si>
    <t>F074</t>
  </si>
  <si>
    <t>F075</t>
  </si>
  <si>
    <t>F076</t>
  </si>
  <si>
    <t>F077</t>
  </si>
  <si>
    <t>F078</t>
  </si>
  <si>
    <t>F079</t>
  </si>
  <si>
    <t>F080</t>
  </si>
  <si>
    <t>F081</t>
  </si>
  <si>
    <t>F082</t>
  </si>
  <si>
    <t>F083</t>
  </si>
  <si>
    <t>F084</t>
  </si>
  <si>
    <t>F085</t>
  </si>
  <si>
    <t>F086</t>
  </si>
  <si>
    <t>F087</t>
  </si>
  <si>
    <t>F088</t>
  </si>
  <si>
    <t>F089</t>
  </si>
  <si>
    <t>F090</t>
  </si>
  <si>
    <t>F091</t>
  </si>
  <si>
    <t>F092</t>
  </si>
  <si>
    <t>F093</t>
  </si>
  <si>
    <t>F094</t>
  </si>
  <si>
    <t>F095</t>
  </si>
  <si>
    <t>F096</t>
  </si>
  <si>
    <t>F097</t>
  </si>
  <si>
    <t>F098</t>
  </si>
  <si>
    <t>F099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</si>
  <si>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</si>
  <si>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</si>
  <si>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</si>
  <si>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</si>
  <si>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</si>
  <si>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</si>
  <si>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</si>
  <si>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</si>
  <si>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</si>
  <si>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</si>
  <si>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</si>
  <si>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</si>
  <si>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</si>
  <si>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</si>
  <si>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</si>
  <si>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</si>
  <si>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</si>
  <si>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</si>
  <si>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</si>
  <si>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</si>
  <si>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</si>
  <si>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</si>
  <si>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</si>
  <si>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</si>
  <si>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</si>
  <si>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</si>
  <si>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</si>
  <si>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</si>
  <si>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</si>
  <si>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</si>
  <si>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</si>
  <si>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</si>
  <si>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</si>
  <si>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</si>
  <si>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</si>
  <si>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</si>
  <si>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</si>
  <si>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</si>
  <si>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</si>
  <si>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</si>
  <si>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</si>
  <si>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</si>
  <si>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</si>
  <si>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</si>
  <si>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</si>
  <si>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</si>
  <si>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</si>
  <si>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</si>
  <si>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</si>
  <si>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</si>
  <si>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</si>
  <si>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</si>
  <si>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</si>
  <si>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</si>
  <si>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</si>
  <si>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</si>
  <si>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</si>
  <si>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</si>
  <si>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</si>
  <si>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</si>
  <si>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</si>
  <si>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</si>
  <si>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</si>
  <si>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</si>
  <si>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</si>
  <si>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</si>
  <si>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</si>
  <si>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</si>
  <si>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</si>
  <si>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</si>
  <si>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</si>
  <si>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</si>
  <si>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</si>
  <si>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</si>
  <si>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</si>
  <si>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</si>
  <si>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</si>
  <si>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</si>
  <si>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</si>
  <si>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</si>
  <si>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</si>
  <si>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Codebook / Variable View</t>
  </si>
  <si>
    <t>Variable</t>
  </si>
  <si>
    <t>Label</t>
  </si>
  <si>
    <t>Definition</t>
  </si>
  <si>
    <t>Group</t>
  </si>
  <si>
    <t>Type / Decimals</t>
  </si>
  <si>
    <t>Values</t>
  </si>
  <si>
    <t>Firm identifier</t>
  </si>
  <si>
    <t>Anonymised company code (F001–F180)</t>
  </si>
  <si>
    <t>ID</t>
  </si>
  <si>
    <t>String</t>
  </si>
  <si>
    <t>Bankruptcy status</t>
  </si>
  <si>
    <t>Firm status at the time of observation</t>
  </si>
  <si>
    <t>Dependent variable</t>
  </si>
  <si>
    <t>Numeric, 0</t>
  </si>
  <si>
    <t>0 = Non-Bankrupt; 1 = Bankrupt</t>
  </si>
  <si>
    <t>Status (text)</t>
  </si>
  <si>
    <t>Text label of Status</t>
  </si>
  <si>
    <t>—</t>
  </si>
  <si>
    <t>Train/Test split</t>
  </si>
  <si>
    <t>Stratified 70/30 split used for ML models (Train n = 126, Test n = 54)</t>
  </si>
  <si>
    <t>Train; Test</t>
  </si>
  <si>
    <t>Current Ratio</t>
  </si>
  <si>
    <t>Current assets / Current liabilities</t>
  </si>
  <si>
    <t>Liquidity</t>
  </si>
  <si>
    <t>Numeric, 4</t>
  </si>
  <si>
    <t>Scale</t>
  </si>
  <si>
    <t>Quick Ratio</t>
  </si>
  <si>
    <t>(Current assets − Inventories) / Current liabilities</t>
  </si>
  <si>
    <t>Debt-to-Equity</t>
  </si>
  <si>
    <t>Total liabilities / Shareholders' equity</t>
  </si>
  <si>
    <t>Leverage</t>
  </si>
  <si>
    <t>Interest Coverage</t>
  </si>
  <si>
    <t>EBIT / Interest expense</t>
  </si>
  <si>
    <t>Net income / Total assets</t>
  </si>
  <si>
    <t>Profitability</t>
  </si>
  <si>
    <t>Net Profit Margin</t>
  </si>
  <si>
    <t>Net income / Net sales</t>
  </si>
  <si>
    <t>Asset Turnover</t>
  </si>
  <si>
    <t>Net sales / Total assets</t>
  </si>
  <si>
    <t>Efficiency</t>
  </si>
  <si>
    <t>Firm Size (ln TA)</t>
  </si>
  <si>
    <t>Natural logarithm of total assets</t>
  </si>
  <si>
    <t>Size</t>
  </si>
  <si>
    <t>Table 5.1 – Descriptive Statistics of Financial Indicators (N = 180)</t>
  </si>
  <si>
    <t>Indicator</t>
  </si>
  <si>
    <t>N</t>
  </si>
  <si>
    <t>Mean</t>
  </si>
  <si>
    <t>Std. Dev.</t>
  </si>
  <si>
    <t>Minimum</t>
  </si>
  <si>
    <t>Maximum</t>
  </si>
  <si>
    <t>Reported Mean</t>
  </si>
  <si>
    <t>Reported SD</t>
  </si>
  <si>
    <t>Reported Min</t>
  </si>
  <si>
    <t>Reported Max</t>
  </si>
  <si>
    <t>Match</t>
  </si>
  <si>
    <t>Table 5.2 – Independent Samples t-Test (Welch) by Firm Status</t>
  </si>
  <si>
    <t>N (Non-Bankrupt)</t>
  </si>
  <si>
    <t>N (Bankrupt)</t>
  </si>
  <si>
    <t>Mean (Non-Bankrupt)</t>
  </si>
  <si>
    <t>SD (Non-Bankrupt)</t>
  </si>
  <si>
    <t>Mean (Bankrupt)</t>
  </si>
  <si>
    <t>SD (Bankrupt)</t>
  </si>
  <si>
    <t>Mean Difference</t>
  </si>
  <si>
    <t>t-value (Welch)</t>
  </si>
  <si>
    <t>df (Welch)</t>
  </si>
  <si>
    <t>p-value (2-tailed)</t>
  </si>
  <si>
    <t>Sig. (α = 0.05)</t>
  </si>
  <si>
    <t>Reported t</t>
  </si>
  <si>
    <t>Reported p</t>
  </si>
  <si>
    <t>Match t</t>
  </si>
  <si>
    <t>0.049</t>
  </si>
  <si>
    <t>0.000</t>
  </si>
  <si>
    <t>&lt;0.001</t>
  </si>
  <si>
    <t>0.070</t>
  </si>
  <si>
    <t>Figure 5.3 – Pearson Correlation Matrix of Financial Indicators (N = 180)</t>
  </si>
  <si>
    <t>Reported (Figure 5.3):</t>
  </si>
  <si>
    <t>All cells match:</t>
  </si>
  <si>
    <t>Test set (n = 54) – predicted probability of bankruptcy per model (threshold = 0.50)</t>
  </si>
  <si>
    <t>Actual Status</t>
  </si>
  <si>
    <t>P(Bankrupt) – Logistic Regression</t>
  </si>
  <si>
    <t>Predicted – LR</t>
  </si>
  <si>
    <t>P(Bankrupt) – Random Forest</t>
  </si>
  <si>
    <t>Predicted – RF</t>
  </si>
  <si>
    <t>P(Bankrupt) – SVM (RBF)</t>
  </si>
  <si>
    <t>Predicted – SVM</t>
  </si>
  <si>
    <t>Table 5.3 – Performance Comparison of Classification Models (Test Set, n = 54)</t>
  </si>
  <si>
    <t>Model</t>
  </si>
  <si>
    <t>TN</t>
  </si>
  <si>
    <t>FP</t>
  </si>
  <si>
    <t>FN</t>
  </si>
  <si>
    <t>TP</t>
  </si>
  <si>
    <t>Accuracy</t>
  </si>
  <si>
    <t>Precision</t>
  </si>
  <si>
    <t>Recall</t>
  </si>
  <si>
    <t>F1-Score</t>
  </si>
  <si>
    <t>AUC</t>
  </si>
  <si>
    <t>Rep. Accuracy</t>
  </si>
  <si>
    <t>Rep. Precision</t>
  </si>
  <si>
    <t>Rep. Recall</t>
  </si>
  <si>
    <t>Rep. F1</t>
  </si>
  <si>
    <t>Rep. AUC</t>
  </si>
  <si>
    <t>Logistic Regression</t>
  </si>
  <si>
    <t>Random Forest</t>
  </si>
  <si>
    <t>SVM (RBF)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</si>
</sst>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Times New Roman"/>
      <charset val="1"/>
    </font>
    <font>
      <sz val="11"/>
      <name val="Times New Roman"/>
      <charset val="1"/>
    </font>
    <font>
      <sz val="11"/>
      <color rgb="FF0000FF"/>
      <name val="Times New Roman"/>
      <charset val="1"/>
    </font>
    <font>
      <b/>
      <sz val="13"/>
      <name val="Times New Roman"/>
      <charset val="1"/>
    </font>
    <font>
      <i/>
      <sz val="11"/>
      <name val="Times New Roman"/>
      <charset val="1"/>
    </font>
    <font>
      <b/>
      <sz val="11"/>
      <name val="Times New Roman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vertical="center" wrapText="1"/>
    </xf>
    <xf numFmtId="0" fontId="5" fillId="0" borderId="0" xfId="0" applyFont="1"/>
    <xf numFmtId="0" fontId="6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6" fillId="0" borderId="0" xfId="0" applyFont="1"/>
    <xf numFmtId="2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328125" defaultRowHeight="14.5" x14ac:dyDescent="0.35"/>
  <cols>
    <col min="1" max="1" width="10" customWidth="1"/>
    <col min="2" max="2" width="8" customWidth="1"/>
    <col min="3" max="3" width="14" customWidth="1"/>
    <col min="4" max="4" width="9" customWidth="1"/>
    <col min="5" max="12" width="16" customWidth="1"/>
  </cols>
  <sheetData>
    <row r="1" spans="1:12" ht="3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2">
        <v>0</v>
      </c>
      <c r="C2" s="2" t="str">
        <f t="shared" ref="C2:C33" si="0">IF(B2=1,"Bankrupt","Non-Bankrupt")</f>
        <v>Non-Bankrupt</v>
      </c>
      <c r="D2" s="2" t="s">
        <v>13</v>
      </c>
      <c r="E2" s="3">
        <v>2.2425999999999999</v>
      </c>
      <c r="F2" s="3">
        <v>1.4365000000000001</v>
      </c>
      <c r="G2" s="3">
        <v>1.2011000000000001</v>
      </c>
      <c r="H2" s="3">
        <v>8.6270000000000007</v>
      </c>
      <c r="I2" s="3">
        <v>1.03E-2</v>
      </c>
      <c r="J2" s="3">
        <v>4.4999999999999997E-3</v>
      </c>
      <c r="K2" s="3">
        <v>1.9682999999999999</v>
      </c>
      <c r="L2" s="3">
        <v>15.8613</v>
      </c>
    </row>
    <row r="3" spans="1:12" x14ac:dyDescent="0.35">
      <c r="A3" s="2" t="s">
        <v>14</v>
      </c>
      <c r="B3" s="2">
        <v>0</v>
      </c>
      <c r="C3" s="2" t="str">
        <f t="shared" si="0"/>
        <v>Non-Bankrupt</v>
      </c>
      <c r="D3" s="2" t="s">
        <v>13</v>
      </c>
      <c r="E3" s="3">
        <v>1.7882</v>
      </c>
      <c r="F3" s="3">
        <v>2.6562999999999999</v>
      </c>
      <c r="G3" s="3">
        <v>1.4449000000000001</v>
      </c>
      <c r="H3" s="3">
        <v>1.8385</v>
      </c>
      <c r="I3" s="3">
        <v>0.2</v>
      </c>
      <c r="J3" s="3">
        <v>3.1399999999999997E-2</v>
      </c>
      <c r="K3" s="3">
        <v>1.651</v>
      </c>
      <c r="L3" s="3">
        <v>15.2593</v>
      </c>
    </row>
    <row r="4" spans="1:12" x14ac:dyDescent="0.35">
      <c r="A4" s="2" t="s">
        <v>15</v>
      </c>
      <c r="B4" s="2">
        <v>0</v>
      </c>
      <c r="C4" s="2" t="str">
        <f t="shared" si="0"/>
        <v>Non-Bankrupt</v>
      </c>
      <c r="D4" s="2" t="s">
        <v>13</v>
      </c>
      <c r="E4" s="3">
        <v>1.6322000000000001</v>
      </c>
      <c r="F4" s="3">
        <v>0.77359999999999995</v>
      </c>
      <c r="G4" s="3">
        <v>0.75109999999999999</v>
      </c>
      <c r="H4" s="3">
        <v>10.5304</v>
      </c>
      <c r="I4" s="3">
        <v>9.5899999999999999E-2</v>
      </c>
      <c r="J4" s="3">
        <v>9.6799999999999997E-2</v>
      </c>
      <c r="K4" s="3">
        <v>2.2410000000000001</v>
      </c>
      <c r="L4" s="3">
        <v>14.5184</v>
      </c>
    </row>
    <row r="5" spans="1:12" x14ac:dyDescent="0.35">
      <c r="A5" s="2" t="s">
        <v>16</v>
      </c>
      <c r="B5" s="2">
        <v>1</v>
      </c>
      <c r="C5" s="2" t="str">
        <f t="shared" si="0"/>
        <v>Bankrupt</v>
      </c>
      <c r="D5" s="2" t="s">
        <v>13</v>
      </c>
      <c r="E5" s="3">
        <v>1.5813999999999999</v>
      </c>
      <c r="F5" s="3">
        <v>0.72209999999999996</v>
      </c>
      <c r="G5" s="3">
        <v>1.7621</v>
      </c>
      <c r="H5" s="3">
        <v>2.4634</v>
      </c>
      <c r="I5" s="3">
        <v>-4.6600000000000003E-2</v>
      </c>
      <c r="J5" s="3">
        <v>-2.7300000000000001E-2</v>
      </c>
      <c r="K5" s="3">
        <v>0.59509999999999996</v>
      </c>
      <c r="L5" s="3">
        <v>14.728899999999999</v>
      </c>
    </row>
    <row r="6" spans="1:12" x14ac:dyDescent="0.35">
      <c r="A6" s="2" t="s">
        <v>17</v>
      </c>
      <c r="B6" s="2">
        <v>1</v>
      </c>
      <c r="C6" s="2" t="str">
        <f t="shared" si="0"/>
        <v>Bankrupt</v>
      </c>
      <c r="D6" s="2" t="s">
        <v>13</v>
      </c>
      <c r="E6" s="3">
        <v>1.5041</v>
      </c>
      <c r="F6" s="3">
        <v>2.0541999999999998</v>
      </c>
      <c r="G6" s="3">
        <v>0.88090000000000002</v>
      </c>
      <c r="H6" s="3">
        <v>3.3460000000000001</v>
      </c>
      <c r="I6" s="3">
        <v>4.87E-2</v>
      </c>
      <c r="J6" s="3">
        <v>-6.9699999999999998E-2</v>
      </c>
      <c r="K6" s="3">
        <v>0.2</v>
      </c>
      <c r="L6" s="3">
        <v>13.7158</v>
      </c>
    </row>
    <row r="7" spans="1:12" x14ac:dyDescent="0.35">
      <c r="A7" s="2" t="s">
        <v>18</v>
      </c>
      <c r="B7" s="2">
        <v>0</v>
      </c>
      <c r="C7" s="2" t="str">
        <f t="shared" si="0"/>
        <v>Non-Bankrupt</v>
      </c>
      <c r="D7" s="2" t="s">
        <v>13</v>
      </c>
      <c r="E7" s="3">
        <v>1.2706</v>
      </c>
      <c r="F7" s="3">
        <v>1.9710000000000001</v>
      </c>
      <c r="G7" s="3">
        <v>0.8306</v>
      </c>
      <c r="H7" s="3">
        <v>6.7851999999999997</v>
      </c>
      <c r="I7" s="3">
        <v>9.1800000000000007E-2</v>
      </c>
      <c r="J7" s="3">
        <v>1.66E-2</v>
      </c>
      <c r="K7" s="3">
        <v>0.78400000000000003</v>
      </c>
      <c r="L7" s="3">
        <v>14.0959</v>
      </c>
    </row>
    <row r="8" spans="1:12" x14ac:dyDescent="0.35">
      <c r="A8" s="2" t="s">
        <v>19</v>
      </c>
      <c r="B8" s="2">
        <v>1</v>
      </c>
      <c r="C8" s="2" t="str">
        <f t="shared" si="0"/>
        <v>Bankrupt</v>
      </c>
      <c r="D8" s="2" t="s">
        <v>13</v>
      </c>
      <c r="E8" s="3">
        <v>1.3404</v>
      </c>
      <c r="F8" s="3">
        <v>0.64039999999999997</v>
      </c>
      <c r="G8" s="3">
        <v>2.0716000000000001</v>
      </c>
      <c r="H8" s="3">
        <v>2.6839</v>
      </c>
      <c r="I8" s="3">
        <v>-7.51E-2</v>
      </c>
      <c r="J8" s="3">
        <v>-1.3299999999999999E-2</v>
      </c>
      <c r="K8" s="3">
        <v>0.91620000000000001</v>
      </c>
      <c r="L8" s="3">
        <v>11.138999999999999</v>
      </c>
    </row>
    <row r="9" spans="1:12" x14ac:dyDescent="0.35">
      <c r="A9" s="2" t="s">
        <v>20</v>
      </c>
      <c r="B9" s="2">
        <v>0</v>
      </c>
      <c r="C9" s="2" t="str">
        <f t="shared" si="0"/>
        <v>Non-Bankrupt</v>
      </c>
      <c r="D9" s="2" t="s">
        <v>21</v>
      </c>
      <c r="E9" s="3">
        <v>1.7113</v>
      </c>
      <c r="F9" s="3">
        <v>1.5416000000000001</v>
      </c>
      <c r="G9" s="3">
        <v>1.3305</v>
      </c>
      <c r="H9" s="3">
        <v>7.3178999999999998</v>
      </c>
      <c r="I9" s="3">
        <v>6.1999999999999998E-3</v>
      </c>
      <c r="J9" s="3">
        <v>9.2299999999999993E-2</v>
      </c>
      <c r="K9" s="3">
        <v>1.2332000000000001</v>
      </c>
      <c r="L9" s="3">
        <v>14.9625</v>
      </c>
    </row>
    <row r="10" spans="1:12" x14ac:dyDescent="0.35">
      <c r="A10" s="2" t="s">
        <v>22</v>
      </c>
      <c r="B10" s="2">
        <v>0</v>
      </c>
      <c r="C10" s="2" t="str">
        <f t="shared" si="0"/>
        <v>Non-Bankrupt</v>
      </c>
      <c r="D10" s="2" t="s">
        <v>21</v>
      </c>
      <c r="E10" s="3">
        <v>1.3164</v>
      </c>
      <c r="F10" s="3">
        <v>1.3916999999999999</v>
      </c>
      <c r="G10" s="3">
        <v>1.1097999999999999</v>
      </c>
      <c r="H10" s="3">
        <v>1.2445999999999999</v>
      </c>
      <c r="I10" s="3">
        <v>3.0200000000000001E-2</v>
      </c>
      <c r="J10" s="3">
        <v>0.1179</v>
      </c>
      <c r="K10" s="3">
        <v>1.1123000000000001</v>
      </c>
      <c r="L10" s="3">
        <v>14.343400000000001</v>
      </c>
    </row>
    <row r="11" spans="1:12" x14ac:dyDescent="0.35">
      <c r="A11" s="2" t="s">
        <v>23</v>
      </c>
      <c r="B11" s="2">
        <v>0</v>
      </c>
      <c r="C11" s="2" t="str">
        <f t="shared" si="0"/>
        <v>Non-Bankrupt</v>
      </c>
      <c r="D11" s="2" t="s">
        <v>13</v>
      </c>
      <c r="E11" s="3">
        <v>1.4690000000000001</v>
      </c>
      <c r="F11" s="3">
        <v>1.6132</v>
      </c>
      <c r="G11" s="3">
        <v>1.3383</v>
      </c>
      <c r="H11" s="3">
        <v>10.162599999999999</v>
      </c>
      <c r="I11" s="3">
        <v>-2.1700000000000001E-2</v>
      </c>
      <c r="J11" s="3">
        <v>1.34E-2</v>
      </c>
      <c r="K11" s="3">
        <v>0.81720000000000004</v>
      </c>
      <c r="L11" s="3">
        <v>15.8378</v>
      </c>
    </row>
    <row r="12" spans="1:12" x14ac:dyDescent="0.35">
      <c r="A12" s="2" t="s">
        <v>24</v>
      </c>
      <c r="B12" s="2">
        <v>0</v>
      </c>
      <c r="C12" s="2" t="str">
        <f t="shared" si="0"/>
        <v>Non-Bankrupt</v>
      </c>
      <c r="D12" s="2" t="s">
        <v>13</v>
      </c>
      <c r="E12" s="3">
        <v>1.6537999999999999</v>
      </c>
      <c r="F12" s="3">
        <v>1.2645999999999999</v>
      </c>
      <c r="G12" s="3">
        <v>1.4538</v>
      </c>
      <c r="H12" s="3">
        <v>1.6821999999999999</v>
      </c>
      <c r="I12" s="3">
        <v>0.13070000000000001</v>
      </c>
      <c r="J12" s="3">
        <v>9.5299999999999996E-2</v>
      </c>
      <c r="K12" s="3">
        <v>1.4480999999999999</v>
      </c>
      <c r="L12" s="3">
        <v>13.975899999999999</v>
      </c>
    </row>
    <row r="13" spans="1:12" x14ac:dyDescent="0.35">
      <c r="A13" s="2" t="s">
        <v>25</v>
      </c>
      <c r="B13" s="2">
        <v>0</v>
      </c>
      <c r="C13" s="2" t="str">
        <f t="shared" si="0"/>
        <v>Non-Bankrupt</v>
      </c>
      <c r="D13" s="2" t="s">
        <v>13</v>
      </c>
      <c r="E13" s="3">
        <v>1.6909000000000001</v>
      </c>
      <c r="F13" s="3">
        <v>0.97789999999999999</v>
      </c>
      <c r="G13" s="3">
        <v>0.78200000000000003</v>
      </c>
      <c r="H13" s="3">
        <v>3.9489999999999998</v>
      </c>
      <c r="I13" s="3">
        <v>-3.0000000000000001E-3</v>
      </c>
      <c r="J13" s="3">
        <v>6.0900000000000003E-2</v>
      </c>
      <c r="K13" s="3">
        <v>1.1862999999999999</v>
      </c>
      <c r="L13" s="3">
        <v>16.437000000000001</v>
      </c>
    </row>
    <row r="14" spans="1:12" x14ac:dyDescent="0.35">
      <c r="A14" s="2" t="s">
        <v>26</v>
      </c>
      <c r="B14" s="2">
        <v>1</v>
      </c>
      <c r="C14" s="2" t="str">
        <f t="shared" si="0"/>
        <v>Bankrupt</v>
      </c>
      <c r="D14" s="2" t="s">
        <v>21</v>
      </c>
      <c r="E14" s="3">
        <v>0.92259999999999998</v>
      </c>
      <c r="F14" s="3">
        <v>0.7278</v>
      </c>
      <c r="G14" s="3">
        <v>1.6779999999999999</v>
      </c>
      <c r="H14" s="3">
        <v>0.49669999999999997</v>
      </c>
      <c r="I14" s="3">
        <v>-3.1600000000000003E-2</v>
      </c>
      <c r="J14" s="3">
        <v>-0.1067</v>
      </c>
      <c r="K14" s="3">
        <v>1.4673</v>
      </c>
      <c r="L14" s="3">
        <v>14.1206</v>
      </c>
    </row>
    <row r="15" spans="1:12" x14ac:dyDescent="0.35">
      <c r="A15" s="2" t="s">
        <v>27</v>
      </c>
      <c r="B15" s="2">
        <v>0</v>
      </c>
      <c r="C15" s="2" t="str">
        <f t="shared" si="0"/>
        <v>Non-Bankrupt</v>
      </c>
      <c r="D15" s="2" t="s">
        <v>13</v>
      </c>
      <c r="E15" s="3">
        <v>2.1960000000000002</v>
      </c>
      <c r="F15" s="3">
        <v>1.6567000000000001</v>
      </c>
      <c r="G15" s="3">
        <v>1.6451</v>
      </c>
      <c r="H15" s="3">
        <v>3.2658999999999998</v>
      </c>
      <c r="I15" s="3">
        <v>9.4299999999999995E-2</v>
      </c>
      <c r="J15" s="3">
        <v>0.12790000000000001</v>
      </c>
      <c r="K15" s="3">
        <v>1.7674000000000001</v>
      </c>
      <c r="L15" s="3">
        <v>13.846399999999999</v>
      </c>
    </row>
    <row r="16" spans="1:12" x14ac:dyDescent="0.35">
      <c r="A16" s="2" t="s">
        <v>28</v>
      </c>
      <c r="B16" s="2">
        <v>0</v>
      </c>
      <c r="C16" s="2" t="str">
        <f t="shared" si="0"/>
        <v>Non-Bankrupt</v>
      </c>
      <c r="D16" s="2" t="s">
        <v>13</v>
      </c>
      <c r="E16" s="3">
        <v>0.72350000000000003</v>
      </c>
      <c r="F16" s="3">
        <v>1.9476</v>
      </c>
      <c r="G16" s="3">
        <v>1.5293000000000001</v>
      </c>
      <c r="H16" s="3">
        <v>6.7441000000000004</v>
      </c>
      <c r="I16" s="3">
        <v>5.21E-2</v>
      </c>
      <c r="J16" s="3">
        <v>4.9799999999999997E-2</v>
      </c>
      <c r="K16" s="3">
        <v>1.4538</v>
      </c>
      <c r="L16" s="3">
        <v>13.7484</v>
      </c>
    </row>
    <row r="17" spans="1:12" x14ac:dyDescent="0.35">
      <c r="A17" s="2" t="s">
        <v>29</v>
      </c>
      <c r="B17" s="2">
        <v>0</v>
      </c>
      <c r="C17" s="2" t="str">
        <f t="shared" si="0"/>
        <v>Non-Bankrupt</v>
      </c>
      <c r="D17" s="2" t="s">
        <v>13</v>
      </c>
      <c r="E17" s="3">
        <v>2.1415000000000002</v>
      </c>
      <c r="F17" s="3">
        <v>0.77869999999999995</v>
      </c>
      <c r="G17" s="3">
        <v>0.7782</v>
      </c>
      <c r="H17" s="3">
        <v>2.4809000000000001</v>
      </c>
      <c r="I17" s="3">
        <v>3.8399999999999997E-2</v>
      </c>
      <c r="J17" s="3">
        <v>0.12970000000000001</v>
      </c>
      <c r="K17" s="3">
        <v>0.38900000000000001</v>
      </c>
      <c r="L17" s="3">
        <v>14.991199999999999</v>
      </c>
    </row>
    <row r="18" spans="1:12" x14ac:dyDescent="0.35">
      <c r="A18" s="2" t="s">
        <v>30</v>
      </c>
      <c r="B18" s="2">
        <v>0</v>
      </c>
      <c r="C18" s="2" t="str">
        <f t="shared" si="0"/>
        <v>Non-Bankrupt</v>
      </c>
      <c r="D18" s="2" t="s">
        <v>21</v>
      </c>
      <c r="E18" s="3">
        <v>1.1294</v>
      </c>
      <c r="F18" s="3">
        <v>0.11890000000000001</v>
      </c>
      <c r="G18" s="3">
        <v>1.5289999999999999</v>
      </c>
      <c r="H18" s="3">
        <v>4.5357000000000003</v>
      </c>
      <c r="I18" s="3">
        <v>2.7699999999999999E-2</v>
      </c>
      <c r="J18" s="3">
        <v>5.3499999999999999E-2</v>
      </c>
      <c r="K18" s="3">
        <v>0.96550000000000002</v>
      </c>
      <c r="L18" s="3">
        <v>15.007199999999999</v>
      </c>
    </row>
    <row r="19" spans="1:12" x14ac:dyDescent="0.35">
      <c r="A19" s="2" t="s">
        <v>31</v>
      </c>
      <c r="B19" s="2">
        <v>0</v>
      </c>
      <c r="C19" s="2" t="str">
        <f t="shared" si="0"/>
        <v>Non-Bankrupt</v>
      </c>
      <c r="D19" s="2" t="s">
        <v>13</v>
      </c>
      <c r="E19" s="3">
        <v>0.67120000000000002</v>
      </c>
      <c r="F19" s="3">
        <v>0.48470000000000002</v>
      </c>
      <c r="G19" s="3">
        <v>1.1859999999999999</v>
      </c>
      <c r="H19" s="3">
        <v>15.768000000000001</v>
      </c>
      <c r="I19" s="3">
        <v>-1.6500000000000001E-2</v>
      </c>
      <c r="J19" s="3">
        <v>6.2300000000000001E-2</v>
      </c>
      <c r="K19" s="3">
        <v>0.91679999999999995</v>
      </c>
      <c r="L19" s="3">
        <v>14.9855</v>
      </c>
    </row>
    <row r="20" spans="1:12" x14ac:dyDescent="0.35">
      <c r="A20" s="2" t="s">
        <v>32</v>
      </c>
      <c r="B20" s="2">
        <v>0</v>
      </c>
      <c r="C20" s="2" t="str">
        <f t="shared" si="0"/>
        <v>Non-Bankrupt</v>
      </c>
      <c r="D20" s="2" t="s">
        <v>13</v>
      </c>
      <c r="E20" s="3">
        <v>1.9441999999999999</v>
      </c>
      <c r="F20" s="3">
        <v>0.99029999999999996</v>
      </c>
      <c r="G20" s="3">
        <v>1.5297000000000001</v>
      </c>
      <c r="H20" s="3">
        <v>0.39460000000000001</v>
      </c>
      <c r="I20" s="3">
        <v>3.7100000000000001E-2</v>
      </c>
      <c r="J20" s="3">
        <v>8.1900000000000001E-2</v>
      </c>
      <c r="K20" s="3">
        <v>1.2485999999999999</v>
      </c>
      <c r="L20" s="3">
        <v>16.847999999999999</v>
      </c>
    </row>
    <row r="21" spans="1:12" x14ac:dyDescent="0.35">
      <c r="A21" s="2" t="s">
        <v>33</v>
      </c>
      <c r="B21" s="2">
        <v>0</v>
      </c>
      <c r="C21" s="2" t="str">
        <f t="shared" si="0"/>
        <v>Non-Bankrupt</v>
      </c>
      <c r="D21" s="2" t="s">
        <v>21</v>
      </c>
      <c r="E21" s="3">
        <v>1.5376000000000001</v>
      </c>
      <c r="F21" s="3">
        <v>1.2053</v>
      </c>
      <c r="G21" s="3">
        <v>0.65790000000000004</v>
      </c>
      <c r="H21" s="3">
        <v>5.5190999999999999</v>
      </c>
      <c r="I21" s="3">
        <v>3.4299999999999997E-2</v>
      </c>
      <c r="J21" s="3">
        <v>-5.1000000000000004E-3</v>
      </c>
      <c r="K21" s="3">
        <v>1.4352</v>
      </c>
      <c r="L21" s="3">
        <v>14.2157</v>
      </c>
    </row>
    <row r="22" spans="1:12" x14ac:dyDescent="0.35">
      <c r="A22" s="2" t="s">
        <v>34</v>
      </c>
      <c r="B22" s="2">
        <v>1</v>
      </c>
      <c r="C22" s="2" t="str">
        <f t="shared" si="0"/>
        <v>Bankrupt</v>
      </c>
      <c r="D22" s="2" t="s">
        <v>13</v>
      </c>
      <c r="E22" s="3">
        <v>1.7877000000000001</v>
      </c>
      <c r="F22" s="3">
        <v>0.97430000000000005</v>
      </c>
      <c r="G22" s="3">
        <v>2.3582000000000001</v>
      </c>
      <c r="H22" s="3">
        <v>2.7753000000000001</v>
      </c>
      <c r="I22" s="3">
        <v>1.32E-2</v>
      </c>
      <c r="J22" s="3">
        <v>7.7499999999999999E-2</v>
      </c>
      <c r="K22" s="3">
        <v>0.68169999999999997</v>
      </c>
      <c r="L22" s="3">
        <v>15.1226</v>
      </c>
    </row>
    <row r="23" spans="1:12" x14ac:dyDescent="0.35">
      <c r="A23" s="2" t="s">
        <v>35</v>
      </c>
      <c r="B23" s="2">
        <v>0</v>
      </c>
      <c r="C23" s="2" t="str">
        <f t="shared" si="0"/>
        <v>Non-Bankrupt</v>
      </c>
      <c r="D23" s="2" t="s">
        <v>21</v>
      </c>
      <c r="E23" s="3">
        <v>2.0735999999999999</v>
      </c>
      <c r="F23" s="3">
        <v>0.97150000000000003</v>
      </c>
      <c r="G23" s="3">
        <v>1.0853999999999999</v>
      </c>
      <c r="H23" s="3">
        <v>7.2649999999999997</v>
      </c>
      <c r="I23" s="3">
        <v>-4.7899999999999998E-2</v>
      </c>
      <c r="J23" s="3">
        <v>3.6200000000000003E-2</v>
      </c>
      <c r="K23" s="3">
        <v>1.1085</v>
      </c>
      <c r="L23" s="3">
        <v>15.386100000000001</v>
      </c>
    </row>
    <row r="24" spans="1:12" x14ac:dyDescent="0.35">
      <c r="A24" s="2" t="s">
        <v>36</v>
      </c>
      <c r="B24" s="2">
        <v>0</v>
      </c>
      <c r="C24" s="2" t="str">
        <f t="shared" si="0"/>
        <v>Non-Bankrupt</v>
      </c>
      <c r="D24" s="2" t="s">
        <v>13</v>
      </c>
      <c r="E24" s="3">
        <v>1.1000000000000001</v>
      </c>
      <c r="F24" s="3">
        <v>1.8764000000000001</v>
      </c>
      <c r="G24" s="3">
        <v>1.3482000000000001</v>
      </c>
      <c r="H24" s="3">
        <v>6.4973999999999998</v>
      </c>
      <c r="I24" s="3">
        <v>3.2500000000000001E-2</v>
      </c>
      <c r="J24" s="3">
        <v>0.15029999999999999</v>
      </c>
      <c r="K24" s="3">
        <v>0.82069999999999999</v>
      </c>
      <c r="L24" s="3">
        <v>13.101800000000001</v>
      </c>
    </row>
    <row r="25" spans="1:12" x14ac:dyDescent="0.35">
      <c r="A25" s="2" t="s">
        <v>37</v>
      </c>
      <c r="B25" s="2">
        <v>0</v>
      </c>
      <c r="C25" s="2" t="str">
        <f t="shared" si="0"/>
        <v>Non-Bankrupt</v>
      </c>
      <c r="D25" s="2" t="s">
        <v>13</v>
      </c>
      <c r="E25" s="3">
        <v>2.4866000000000001</v>
      </c>
      <c r="F25" s="3">
        <v>0.72709999999999997</v>
      </c>
      <c r="G25" s="3">
        <v>0.68620000000000003</v>
      </c>
      <c r="H25" s="3">
        <v>7.5186000000000002</v>
      </c>
      <c r="I25" s="3">
        <v>0.1169</v>
      </c>
      <c r="J25" s="3">
        <v>2.0799999999999999E-2</v>
      </c>
      <c r="K25" s="3">
        <v>0.97619999999999996</v>
      </c>
      <c r="L25" s="3">
        <v>15.4437</v>
      </c>
    </row>
    <row r="26" spans="1:12" x14ac:dyDescent="0.35">
      <c r="A26" s="2" t="s">
        <v>38</v>
      </c>
      <c r="B26" s="2">
        <v>1</v>
      </c>
      <c r="C26" s="2" t="str">
        <f t="shared" si="0"/>
        <v>Bankrupt</v>
      </c>
      <c r="D26" s="2" t="s">
        <v>21</v>
      </c>
      <c r="E26" s="3">
        <v>1.2871999999999999</v>
      </c>
      <c r="F26" s="3">
        <v>1.1893</v>
      </c>
      <c r="G26" s="3">
        <v>2.1852</v>
      </c>
      <c r="H26" s="3">
        <v>1.0009999999999999</v>
      </c>
      <c r="I26" s="3">
        <v>4.4299999999999999E-2</v>
      </c>
      <c r="J26" s="3">
        <v>-8.3799999999999999E-2</v>
      </c>
      <c r="K26" s="3">
        <v>0.70169999999999999</v>
      </c>
      <c r="L26" s="3">
        <v>14.0909</v>
      </c>
    </row>
    <row r="27" spans="1:12" x14ac:dyDescent="0.35">
      <c r="A27" s="2" t="s">
        <v>39</v>
      </c>
      <c r="B27" s="2">
        <v>1</v>
      </c>
      <c r="C27" s="2" t="str">
        <f t="shared" si="0"/>
        <v>Bankrupt</v>
      </c>
      <c r="D27" s="2" t="s">
        <v>21</v>
      </c>
      <c r="E27" s="3">
        <v>1.1517999999999999</v>
      </c>
      <c r="F27" s="3">
        <v>0.85570000000000002</v>
      </c>
      <c r="G27" s="3">
        <v>1.522</v>
      </c>
      <c r="H27" s="3">
        <v>-0.81910000000000005</v>
      </c>
      <c r="I27" s="3">
        <v>6.5799999999999997E-2</v>
      </c>
      <c r="J27" s="3">
        <v>-8.1199999999999994E-2</v>
      </c>
      <c r="K27" s="3">
        <v>1.1087</v>
      </c>
      <c r="L27" s="3">
        <v>13.6105</v>
      </c>
    </row>
    <row r="28" spans="1:12" x14ac:dyDescent="0.35">
      <c r="A28" s="2" t="s">
        <v>40</v>
      </c>
      <c r="B28" s="2">
        <v>0</v>
      </c>
      <c r="C28" s="2" t="str">
        <f t="shared" si="0"/>
        <v>Non-Bankrupt</v>
      </c>
      <c r="D28" s="2" t="s">
        <v>13</v>
      </c>
      <c r="E28" s="3">
        <v>1.1533</v>
      </c>
      <c r="F28" s="3">
        <v>1.0337000000000001</v>
      </c>
      <c r="G28" s="3">
        <v>1.4124000000000001</v>
      </c>
      <c r="H28" s="3">
        <v>3.4670999999999998</v>
      </c>
      <c r="I28" s="3">
        <v>3.5099999999999999E-2</v>
      </c>
      <c r="J28" s="3">
        <v>5.6800000000000003E-2</v>
      </c>
      <c r="K28" s="3">
        <v>0.8196</v>
      </c>
      <c r="L28" s="3">
        <v>14.367000000000001</v>
      </c>
    </row>
    <row r="29" spans="1:12" x14ac:dyDescent="0.35">
      <c r="A29" s="2" t="s">
        <v>41</v>
      </c>
      <c r="B29" s="2">
        <v>0</v>
      </c>
      <c r="C29" s="2" t="str">
        <f t="shared" si="0"/>
        <v>Non-Bankrupt</v>
      </c>
      <c r="D29" s="2" t="s">
        <v>13</v>
      </c>
      <c r="E29" s="3">
        <v>1.4171</v>
      </c>
      <c r="F29" s="3">
        <v>1.8804000000000001</v>
      </c>
      <c r="G29" s="3">
        <v>1.2011000000000001</v>
      </c>
      <c r="H29" s="3">
        <v>-1.4799</v>
      </c>
      <c r="I29" s="3">
        <v>-1.52E-2</v>
      </c>
      <c r="J29" s="3">
        <v>9.8199999999999996E-2</v>
      </c>
      <c r="K29" s="3">
        <v>1.7704</v>
      </c>
      <c r="L29" s="3">
        <v>14.2188</v>
      </c>
    </row>
    <row r="30" spans="1:12" x14ac:dyDescent="0.35">
      <c r="A30" s="2" t="s">
        <v>42</v>
      </c>
      <c r="B30" s="2">
        <v>0</v>
      </c>
      <c r="C30" s="2" t="str">
        <f t="shared" si="0"/>
        <v>Non-Bankrupt</v>
      </c>
      <c r="D30" s="2" t="s">
        <v>13</v>
      </c>
      <c r="E30" s="3">
        <v>2.2185999999999999</v>
      </c>
      <c r="F30" s="3">
        <v>1.0673999999999999</v>
      </c>
      <c r="G30" s="3">
        <v>1.2011000000000001</v>
      </c>
      <c r="H30" s="3">
        <v>1.5797000000000001</v>
      </c>
      <c r="I30" s="3">
        <v>0.17829999999999999</v>
      </c>
      <c r="J30" s="3">
        <v>0.1206</v>
      </c>
      <c r="K30" s="3">
        <v>1.1792</v>
      </c>
      <c r="L30" s="3">
        <v>14.8498</v>
      </c>
    </row>
    <row r="31" spans="1:12" x14ac:dyDescent="0.35">
      <c r="A31" s="2" t="s">
        <v>43</v>
      </c>
      <c r="B31" s="2">
        <v>0</v>
      </c>
      <c r="C31" s="2" t="str">
        <f t="shared" si="0"/>
        <v>Non-Bankrupt</v>
      </c>
      <c r="D31" s="2" t="s">
        <v>13</v>
      </c>
      <c r="E31" s="3">
        <v>1.728</v>
      </c>
      <c r="F31" s="3">
        <v>0.73009999999999997</v>
      </c>
      <c r="G31" s="3">
        <v>1.3521000000000001</v>
      </c>
      <c r="H31" s="3">
        <v>2.7978999999999998</v>
      </c>
      <c r="I31" s="3">
        <v>7.6499999999999999E-2</v>
      </c>
      <c r="J31" s="3">
        <v>2.3300000000000001E-2</v>
      </c>
      <c r="K31" s="3">
        <v>1.7054</v>
      </c>
      <c r="L31" s="3">
        <v>14.3047</v>
      </c>
    </row>
    <row r="32" spans="1:12" x14ac:dyDescent="0.35">
      <c r="A32" s="2" t="s">
        <v>44</v>
      </c>
      <c r="B32" s="2">
        <v>0</v>
      </c>
      <c r="C32" s="2" t="str">
        <f t="shared" si="0"/>
        <v>Non-Bankrupt</v>
      </c>
      <c r="D32" s="2" t="s">
        <v>21</v>
      </c>
      <c r="E32" s="3">
        <v>1.3615999999999999</v>
      </c>
      <c r="F32" s="3">
        <v>0.97360000000000002</v>
      </c>
      <c r="G32" s="3">
        <v>1.6909000000000001</v>
      </c>
      <c r="H32" s="3">
        <v>4.4961000000000002</v>
      </c>
      <c r="I32" s="3">
        <v>-6.7400000000000002E-2</v>
      </c>
      <c r="J32" s="3">
        <v>0.1231</v>
      </c>
      <c r="K32" s="3">
        <v>0.79190000000000005</v>
      </c>
      <c r="L32" s="3">
        <v>16.564900000000002</v>
      </c>
    </row>
    <row r="33" spans="1:12" x14ac:dyDescent="0.35">
      <c r="A33" s="2" t="s">
        <v>45</v>
      </c>
      <c r="B33" s="2">
        <v>0</v>
      </c>
      <c r="C33" s="2" t="str">
        <f t="shared" si="0"/>
        <v>Non-Bankrupt</v>
      </c>
      <c r="D33" s="2" t="s">
        <v>13</v>
      </c>
      <c r="E33" s="3">
        <v>1.3460000000000001</v>
      </c>
      <c r="F33" s="3">
        <v>0.69830000000000003</v>
      </c>
      <c r="G33" s="3">
        <v>0.79549999999999998</v>
      </c>
      <c r="H33" s="3">
        <v>6.6298000000000004</v>
      </c>
      <c r="I33" s="3">
        <v>0.1326</v>
      </c>
      <c r="J33" s="3">
        <v>2.1499999999999998E-2</v>
      </c>
      <c r="K33" s="3">
        <v>1.474</v>
      </c>
      <c r="L33" s="3">
        <v>13.306699999999999</v>
      </c>
    </row>
    <row r="34" spans="1:12" x14ac:dyDescent="0.35">
      <c r="A34" s="2" t="s">
        <v>46</v>
      </c>
      <c r="B34" s="2">
        <v>0</v>
      </c>
      <c r="C34" s="2" t="str">
        <f t="shared" ref="C34:C65" si="1">IF(B34=1,"Bankrupt","Non-Bankrupt")</f>
        <v>Non-Bankrupt</v>
      </c>
      <c r="D34" s="2" t="s">
        <v>13</v>
      </c>
      <c r="E34" s="3">
        <v>1.0774999999999999</v>
      </c>
      <c r="F34" s="3">
        <v>1.3250999999999999</v>
      </c>
      <c r="G34" s="3">
        <v>1.8714</v>
      </c>
      <c r="H34" s="3">
        <v>4.1368</v>
      </c>
      <c r="I34" s="3">
        <v>6.2899999999999998E-2</v>
      </c>
      <c r="J34" s="3">
        <v>-2.92E-2</v>
      </c>
      <c r="K34" s="3">
        <v>1.0668</v>
      </c>
      <c r="L34" s="3">
        <v>12.1828</v>
      </c>
    </row>
    <row r="35" spans="1:12" x14ac:dyDescent="0.35">
      <c r="A35" s="2" t="s">
        <v>47</v>
      </c>
      <c r="B35" s="2">
        <v>0</v>
      </c>
      <c r="C35" s="2" t="str">
        <f t="shared" si="1"/>
        <v>Non-Bankrupt</v>
      </c>
      <c r="D35" s="2" t="s">
        <v>13</v>
      </c>
      <c r="E35" s="3">
        <v>1.9881</v>
      </c>
      <c r="F35" s="3">
        <v>1.1025</v>
      </c>
      <c r="G35" s="3">
        <v>1.0298</v>
      </c>
      <c r="H35" s="3">
        <v>7.7274000000000003</v>
      </c>
      <c r="I35" s="3">
        <v>9.9900000000000003E-2</v>
      </c>
      <c r="J35" s="3">
        <v>1.67E-2</v>
      </c>
      <c r="K35" s="3">
        <v>1.0111000000000001</v>
      </c>
      <c r="L35" s="3">
        <v>15.706799999999999</v>
      </c>
    </row>
    <row r="36" spans="1:12" x14ac:dyDescent="0.35">
      <c r="A36" s="2" t="s">
        <v>48</v>
      </c>
      <c r="B36" s="2">
        <v>0</v>
      </c>
      <c r="C36" s="2" t="str">
        <f t="shared" si="1"/>
        <v>Non-Bankrupt</v>
      </c>
      <c r="D36" s="2" t="s">
        <v>13</v>
      </c>
      <c r="E36" s="3">
        <v>1.4468000000000001</v>
      </c>
      <c r="F36" s="3">
        <v>1.0583</v>
      </c>
      <c r="G36" s="3">
        <v>0.68859999999999999</v>
      </c>
      <c r="H36" s="3">
        <v>2.9378000000000002</v>
      </c>
      <c r="I36" s="3">
        <v>-4.4999999999999998E-2</v>
      </c>
      <c r="J36" s="3">
        <v>7.9899999999999999E-2</v>
      </c>
      <c r="K36" s="3">
        <v>1.4646999999999999</v>
      </c>
      <c r="L36" s="3">
        <v>14.132099999999999</v>
      </c>
    </row>
    <row r="37" spans="1:12" x14ac:dyDescent="0.35">
      <c r="A37" s="2" t="s">
        <v>49</v>
      </c>
      <c r="B37" s="2">
        <v>1</v>
      </c>
      <c r="C37" s="2" t="str">
        <f t="shared" si="1"/>
        <v>Bankrupt</v>
      </c>
      <c r="D37" s="2" t="s">
        <v>13</v>
      </c>
      <c r="E37" s="3">
        <v>1.6476999999999999</v>
      </c>
      <c r="F37" s="3">
        <v>0.45900000000000002</v>
      </c>
      <c r="G37" s="3">
        <v>1.9757</v>
      </c>
      <c r="H37" s="3">
        <v>1.766</v>
      </c>
      <c r="I37" s="3">
        <v>-6.3E-3</v>
      </c>
      <c r="J37" s="3">
        <v>4.0000000000000002E-4</v>
      </c>
      <c r="K37" s="3">
        <v>0.84489999999999998</v>
      </c>
      <c r="L37" s="3">
        <v>14.0534</v>
      </c>
    </row>
    <row r="38" spans="1:12" x14ac:dyDescent="0.35">
      <c r="A38" s="2" t="s">
        <v>50</v>
      </c>
      <c r="B38" s="2">
        <v>0</v>
      </c>
      <c r="C38" s="2" t="str">
        <f t="shared" si="1"/>
        <v>Non-Bankrupt</v>
      </c>
      <c r="D38" s="2" t="s">
        <v>13</v>
      </c>
      <c r="E38" s="3">
        <v>1.8603000000000001</v>
      </c>
      <c r="F38" s="3">
        <v>1.1802999999999999</v>
      </c>
      <c r="G38" s="3">
        <v>0.66410000000000002</v>
      </c>
      <c r="H38" s="3">
        <v>3.0369000000000002</v>
      </c>
      <c r="I38" s="3">
        <v>0.1085</v>
      </c>
      <c r="J38" s="3">
        <v>0.13550000000000001</v>
      </c>
      <c r="K38" s="3">
        <v>0.6028</v>
      </c>
      <c r="L38" s="3">
        <v>13.916700000000001</v>
      </c>
    </row>
    <row r="39" spans="1:12" x14ac:dyDescent="0.35">
      <c r="A39" s="2" t="s">
        <v>51</v>
      </c>
      <c r="B39" s="2">
        <v>0</v>
      </c>
      <c r="C39" s="2" t="str">
        <f t="shared" si="1"/>
        <v>Non-Bankrupt</v>
      </c>
      <c r="D39" s="2" t="s">
        <v>21</v>
      </c>
      <c r="E39" s="3">
        <v>1.9421999999999999</v>
      </c>
      <c r="F39" s="3">
        <v>1.2722</v>
      </c>
      <c r="G39" s="3">
        <v>0.97909999999999997</v>
      </c>
      <c r="H39" s="3">
        <v>5.4173</v>
      </c>
      <c r="I39" s="3">
        <v>5.11E-2</v>
      </c>
      <c r="J39" s="3">
        <v>0.11749999999999999</v>
      </c>
      <c r="K39" s="3">
        <v>1.0499000000000001</v>
      </c>
      <c r="L39" s="3">
        <v>15.7796</v>
      </c>
    </row>
    <row r="40" spans="1:12" x14ac:dyDescent="0.35">
      <c r="A40" s="2" t="s">
        <v>52</v>
      </c>
      <c r="B40" s="2">
        <v>0</v>
      </c>
      <c r="C40" s="2" t="str">
        <f t="shared" si="1"/>
        <v>Non-Bankrupt</v>
      </c>
      <c r="D40" s="2" t="s">
        <v>13</v>
      </c>
      <c r="E40" s="3">
        <v>1.2023999999999999</v>
      </c>
      <c r="F40" s="3">
        <v>1.0238</v>
      </c>
      <c r="G40" s="3">
        <v>1.1556</v>
      </c>
      <c r="H40" s="3">
        <v>3.6377999999999999</v>
      </c>
      <c r="I40" s="3">
        <v>0.15440000000000001</v>
      </c>
      <c r="J40" s="3">
        <v>9.2100000000000001E-2</v>
      </c>
      <c r="K40" s="3">
        <v>0.73299999999999998</v>
      </c>
      <c r="L40" s="3">
        <v>12.588200000000001</v>
      </c>
    </row>
    <row r="41" spans="1:12" x14ac:dyDescent="0.35">
      <c r="A41" s="2" t="s">
        <v>53</v>
      </c>
      <c r="B41" s="2">
        <v>0</v>
      </c>
      <c r="C41" s="2" t="str">
        <f t="shared" si="1"/>
        <v>Non-Bankrupt</v>
      </c>
      <c r="D41" s="2" t="s">
        <v>21</v>
      </c>
      <c r="E41" s="3">
        <v>1.7485999999999999</v>
      </c>
      <c r="F41" s="3">
        <v>1.1426000000000001</v>
      </c>
      <c r="G41" s="3">
        <v>0.1178</v>
      </c>
      <c r="H41" s="3">
        <v>2.6861000000000002</v>
      </c>
      <c r="I41" s="3">
        <v>5.0799999999999998E-2</v>
      </c>
      <c r="J41" s="3">
        <v>-1.6899999999999998E-2</v>
      </c>
      <c r="K41" s="3">
        <v>1.7522</v>
      </c>
      <c r="L41" s="3">
        <v>13.796099999999999</v>
      </c>
    </row>
    <row r="42" spans="1:12" x14ac:dyDescent="0.35">
      <c r="A42" s="2" t="s">
        <v>54</v>
      </c>
      <c r="B42" s="2">
        <v>0</v>
      </c>
      <c r="C42" s="2" t="str">
        <f t="shared" si="1"/>
        <v>Non-Bankrupt</v>
      </c>
      <c r="D42" s="2" t="s">
        <v>21</v>
      </c>
      <c r="E42" s="3">
        <v>1.9653</v>
      </c>
      <c r="F42" s="3">
        <v>0.86260000000000003</v>
      </c>
      <c r="G42" s="3">
        <v>2.0440999999999998</v>
      </c>
      <c r="H42" s="3">
        <v>5.4743000000000004</v>
      </c>
      <c r="I42" s="3">
        <v>8.4000000000000005E-2</v>
      </c>
      <c r="J42" s="3">
        <v>9.4E-2</v>
      </c>
      <c r="K42" s="3">
        <v>0.625</v>
      </c>
      <c r="L42" s="3">
        <v>14.926399999999999</v>
      </c>
    </row>
    <row r="43" spans="1:12" x14ac:dyDescent="0.35">
      <c r="A43" s="2" t="s">
        <v>55</v>
      </c>
      <c r="B43" s="2">
        <v>0</v>
      </c>
      <c r="C43" s="2" t="str">
        <f t="shared" si="1"/>
        <v>Non-Bankrupt</v>
      </c>
      <c r="D43" s="2" t="s">
        <v>13</v>
      </c>
      <c r="E43" s="3">
        <v>1.3309</v>
      </c>
      <c r="F43" s="3">
        <v>1.2373000000000001</v>
      </c>
      <c r="G43" s="3">
        <v>0.61919999999999997</v>
      </c>
      <c r="H43" s="3">
        <v>2.8727</v>
      </c>
      <c r="I43" s="3">
        <v>-4.6399999999999997E-2</v>
      </c>
      <c r="J43" s="3">
        <v>8.0799999999999997E-2</v>
      </c>
      <c r="K43" s="3">
        <v>1.7139</v>
      </c>
      <c r="L43" s="3">
        <v>13.9617</v>
      </c>
    </row>
    <row r="44" spans="1:12" x14ac:dyDescent="0.35">
      <c r="A44" s="2" t="s">
        <v>56</v>
      </c>
      <c r="B44" s="2">
        <v>0</v>
      </c>
      <c r="C44" s="2" t="str">
        <f t="shared" si="1"/>
        <v>Non-Bankrupt</v>
      </c>
      <c r="D44" s="2" t="s">
        <v>13</v>
      </c>
      <c r="E44" s="3">
        <v>0.2974</v>
      </c>
      <c r="F44" s="3">
        <v>0.79679999999999995</v>
      </c>
      <c r="G44" s="3">
        <v>1.6504000000000001</v>
      </c>
      <c r="H44" s="3">
        <v>2.8895</v>
      </c>
      <c r="I44" s="3">
        <v>-1.9199999999999998E-2</v>
      </c>
      <c r="J44" s="3">
        <v>5.1499999999999997E-2</v>
      </c>
      <c r="K44" s="3">
        <v>1.8069</v>
      </c>
      <c r="L44" s="3">
        <v>16.288699999999999</v>
      </c>
    </row>
    <row r="45" spans="1:12" x14ac:dyDescent="0.35">
      <c r="A45" s="2" t="s">
        <v>57</v>
      </c>
      <c r="B45" s="2">
        <v>0</v>
      </c>
      <c r="C45" s="2" t="str">
        <f t="shared" si="1"/>
        <v>Non-Bankrupt</v>
      </c>
      <c r="D45" s="2" t="s">
        <v>13</v>
      </c>
      <c r="E45" s="3">
        <v>2.4376000000000002</v>
      </c>
      <c r="F45" s="3">
        <v>1.288</v>
      </c>
      <c r="G45" s="3">
        <v>1.4233</v>
      </c>
      <c r="H45" s="3">
        <v>4.9885000000000002</v>
      </c>
      <c r="I45" s="3">
        <v>-1.2500000000000001E-2</v>
      </c>
      <c r="J45" s="3">
        <v>6.7400000000000002E-2</v>
      </c>
      <c r="K45" s="3">
        <v>1.0115000000000001</v>
      </c>
      <c r="L45" s="3">
        <v>13.6046</v>
      </c>
    </row>
    <row r="46" spans="1:12" x14ac:dyDescent="0.35">
      <c r="A46" s="2" t="s">
        <v>58</v>
      </c>
      <c r="B46" s="2">
        <v>0</v>
      </c>
      <c r="C46" s="2" t="str">
        <f t="shared" si="1"/>
        <v>Non-Bankrupt</v>
      </c>
      <c r="D46" s="2" t="s">
        <v>13</v>
      </c>
      <c r="E46" s="3">
        <v>0.50880000000000003</v>
      </c>
      <c r="F46" s="3">
        <v>1.8331</v>
      </c>
      <c r="G46" s="3">
        <v>2.9870000000000001</v>
      </c>
      <c r="H46" s="3">
        <v>4.5895000000000001</v>
      </c>
      <c r="I46" s="3">
        <v>5.4199999999999998E-2</v>
      </c>
      <c r="J46" s="3">
        <v>3.8600000000000002E-2</v>
      </c>
      <c r="K46" s="3">
        <v>1.7335</v>
      </c>
      <c r="L46" s="3">
        <v>14.0322</v>
      </c>
    </row>
    <row r="47" spans="1:12" x14ac:dyDescent="0.35">
      <c r="A47" s="2" t="s">
        <v>59</v>
      </c>
      <c r="B47" s="2">
        <v>0</v>
      </c>
      <c r="C47" s="2" t="str">
        <f t="shared" si="1"/>
        <v>Non-Bankrupt</v>
      </c>
      <c r="D47" s="2" t="s">
        <v>21</v>
      </c>
      <c r="E47" s="3">
        <v>0.85419999999999996</v>
      </c>
      <c r="F47" s="3">
        <v>0.83089999999999997</v>
      </c>
      <c r="G47" s="3">
        <v>1.3324</v>
      </c>
      <c r="H47" s="3">
        <v>3.3656999999999999</v>
      </c>
      <c r="I47" s="3">
        <v>7.6700000000000004E-2</v>
      </c>
      <c r="J47" s="3">
        <v>0.12620000000000001</v>
      </c>
      <c r="K47" s="3">
        <v>1.3009999999999999</v>
      </c>
      <c r="L47" s="3">
        <v>14.4747</v>
      </c>
    </row>
    <row r="48" spans="1:12" x14ac:dyDescent="0.35">
      <c r="A48" s="2" t="s">
        <v>60</v>
      </c>
      <c r="B48" s="2">
        <v>0</v>
      </c>
      <c r="C48" s="2" t="str">
        <f t="shared" si="1"/>
        <v>Non-Bankrupt</v>
      </c>
      <c r="D48" s="2" t="s">
        <v>21</v>
      </c>
      <c r="E48" s="3">
        <v>0.8619</v>
      </c>
      <c r="F48" s="3">
        <v>0.80710000000000004</v>
      </c>
      <c r="G48" s="3">
        <v>1.35</v>
      </c>
      <c r="H48" s="3">
        <v>4.4623999999999997</v>
      </c>
      <c r="I48" s="3">
        <v>6.5799999999999997E-2</v>
      </c>
      <c r="J48" s="3">
        <v>3.2399999999999998E-2</v>
      </c>
      <c r="K48" s="3">
        <v>1.2837000000000001</v>
      </c>
      <c r="L48" s="3">
        <v>15.8148</v>
      </c>
    </row>
    <row r="49" spans="1:12" x14ac:dyDescent="0.35">
      <c r="A49" s="2" t="s">
        <v>61</v>
      </c>
      <c r="B49" s="2">
        <v>1</v>
      </c>
      <c r="C49" s="2" t="str">
        <f t="shared" si="1"/>
        <v>Bankrupt</v>
      </c>
      <c r="D49" s="2" t="s">
        <v>13</v>
      </c>
      <c r="E49" s="3">
        <v>2.7907000000000002</v>
      </c>
      <c r="F49" s="3">
        <v>1.3613</v>
      </c>
      <c r="G49" s="3">
        <v>2.0293000000000001</v>
      </c>
      <c r="H49" s="3">
        <v>1.6392</v>
      </c>
      <c r="I49" s="3">
        <v>0.1202</v>
      </c>
      <c r="J49" s="3">
        <v>3.5999999999999997E-2</v>
      </c>
      <c r="K49" s="3">
        <v>0.99780000000000002</v>
      </c>
      <c r="L49" s="3">
        <v>13.0883</v>
      </c>
    </row>
    <row r="50" spans="1:12" x14ac:dyDescent="0.35">
      <c r="A50" s="2" t="s">
        <v>62</v>
      </c>
      <c r="B50" s="2">
        <v>1</v>
      </c>
      <c r="C50" s="2" t="str">
        <f t="shared" si="1"/>
        <v>Bankrupt</v>
      </c>
      <c r="D50" s="2" t="s">
        <v>13</v>
      </c>
      <c r="E50" s="3">
        <v>0.2</v>
      </c>
      <c r="F50" s="3">
        <v>1.7275</v>
      </c>
      <c r="G50" s="3">
        <v>2.2764000000000002</v>
      </c>
      <c r="H50" s="3">
        <v>6.1582999999999997</v>
      </c>
      <c r="I50" s="3">
        <v>-2.64E-2</v>
      </c>
      <c r="J50" s="3">
        <v>-0.16170000000000001</v>
      </c>
      <c r="K50" s="3">
        <v>1.1575</v>
      </c>
      <c r="L50" s="3">
        <v>15.6332</v>
      </c>
    </row>
    <row r="51" spans="1:12" x14ac:dyDescent="0.35">
      <c r="A51" s="2" t="s">
        <v>63</v>
      </c>
      <c r="B51" s="2">
        <v>0</v>
      </c>
      <c r="C51" s="2" t="str">
        <f t="shared" si="1"/>
        <v>Non-Bankrupt</v>
      </c>
      <c r="D51" s="2" t="s">
        <v>13</v>
      </c>
      <c r="E51" s="3">
        <v>1.9401999999999999</v>
      </c>
      <c r="F51" s="3">
        <v>1.198</v>
      </c>
      <c r="G51" s="3">
        <v>2.1526000000000001</v>
      </c>
      <c r="H51" s="3">
        <v>5.1144999999999996</v>
      </c>
      <c r="I51" s="3">
        <v>8.3000000000000001E-3</v>
      </c>
      <c r="J51" s="3">
        <v>9.4999999999999998E-3</v>
      </c>
      <c r="K51" s="3">
        <v>1.5972</v>
      </c>
      <c r="L51" s="3">
        <v>15.042</v>
      </c>
    </row>
    <row r="52" spans="1:12" x14ac:dyDescent="0.35">
      <c r="A52" s="2" t="s">
        <v>64</v>
      </c>
      <c r="B52" s="2">
        <v>0</v>
      </c>
      <c r="C52" s="2" t="str">
        <f t="shared" si="1"/>
        <v>Non-Bankrupt</v>
      </c>
      <c r="D52" s="2" t="s">
        <v>13</v>
      </c>
      <c r="E52" s="3">
        <v>1.7732000000000001</v>
      </c>
      <c r="F52" s="3">
        <v>1.0975999999999999</v>
      </c>
      <c r="G52" s="3">
        <v>1.4807999999999999</v>
      </c>
      <c r="H52" s="3">
        <v>3.6526000000000001</v>
      </c>
      <c r="I52" s="3">
        <v>-1.4E-3</v>
      </c>
      <c r="J52" s="3">
        <v>8.9599999999999999E-2</v>
      </c>
      <c r="K52" s="3">
        <v>1.7906</v>
      </c>
      <c r="L52" s="3">
        <v>14.456899999999999</v>
      </c>
    </row>
    <row r="53" spans="1:12" x14ac:dyDescent="0.35">
      <c r="A53" s="2" t="s">
        <v>65</v>
      </c>
      <c r="B53" s="2">
        <v>0</v>
      </c>
      <c r="C53" s="2" t="str">
        <f t="shared" si="1"/>
        <v>Non-Bankrupt</v>
      </c>
      <c r="D53" s="2" t="s">
        <v>21</v>
      </c>
      <c r="E53" s="3">
        <v>1.8602000000000001</v>
      </c>
      <c r="F53" s="3">
        <v>1.6996</v>
      </c>
      <c r="G53" s="3">
        <v>0.56320000000000003</v>
      </c>
      <c r="H53" s="3">
        <v>8.2235999999999994</v>
      </c>
      <c r="I53" s="3">
        <v>4.6600000000000003E-2</v>
      </c>
      <c r="J53" s="3">
        <v>4.6899999999999997E-2</v>
      </c>
      <c r="K53" s="3">
        <v>1.5229999999999999</v>
      </c>
      <c r="L53" s="3">
        <v>15.8995</v>
      </c>
    </row>
    <row r="54" spans="1:12" x14ac:dyDescent="0.35">
      <c r="A54" s="2" t="s">
        <v>66</v>
      </c>
      <c r="B54" s="2">
        <v>0</v>
      </c>
      <c r="C54" s="2" t="str">
        <f t="shared" si="1"/>
        <v>Non-Bankrupt</v>
      </c>
      <c r="D54" s="2" t="s">
        <v>13</v>
      </c>
      <c r="E54" s="3">
        <v>1.4602999999999999</v>
      </c>
      <c r="F54" s="3">
        <v>1.1413</v>
      </c>
      <c r="G54" s="3">
        <v>1.8861000000000001</v>
      </c>
      <c r="H54" s="3">
        <v>3.6013000000000002</v>
      </c>
      <c r="I54" s="3">
        <v>0.1368</v>
      </c>
      <c r="J54" s="3">
        <v>0.10539999999999999</v>
      </c>
      <c r="K54" s="3">
        <v>0.2465</v>
      </c>
      <c r="L54" s="3">
        <v>13.750500000000001</v>
      </c>
    </row>
    <row r="55" spans="1:12" x14ac:dyDescent="0.35">
      <c r="A55" s="2" t="s">
        <v>67</v>
      </c>
      <c r="B55" s="2">
        <v>0</v>
      </c>
      <c r="C55" s="2" t="str">
        <f t="shared" si="1"/>
        <v>Non-Bankrupt</v>
      </c>
      <c r="D55" s="2" t="s">
        <v>13</v>
      </c>
      <c r="E55" s="3">
        <v>2.6036000000000001</v>
      </c>
      <c r="F55" s="3">
        <v>0.72389999999999999</v>
      </c>
      <c r="G55" s="3">
        <v>1.6788000000000001</v>
      </c>
      <c r="H55" s="3">
        <v>6.9848999999999997</v>
      </c>
      <c r="I55" s="3">
        <v>5.3699999999999998E-2</v>
      </c>
      <c r="J55" s="3">
        <v>8.0000000000000002E-3</v>
      </c>
      <c r="K55" s="3">
        <v>1.9156</v>
      </c>
      <c r="L55" s="3">
        <v>14.6663</v>
      </c>
    </row>
    <row r="56" spans="1:12" x14ac:dyDescent="0.35">
      <c r="A56" s="2" t="s">
        <v>68</v>
      </c>
      <c r="B56" s="2">
        <v>0</v>
      </c>
      <c r="C56" s="2" t="str">
        <f t="shared" si="1"/>
        <v>Non-Bankrupt</v>
      </c>
      <c r="D56" s="2" t="s">
        <v>13</v>
      </c>
      <c r="E56" s="3">
        <v>1.8604000000000001</v>
      </c>
      <c r="F56" s="3">
        <v>1.6635</v>
      </c>
      <c r="G56" s="3">
        <v>1.4799</v>
      </c>
      <c r="H56" s="3">
        <v>4.4880000000000004</v>
      </c>
      <c r="I56" s="3">
        <v>-0.13189999999999999</v>
      </c>
      <c r="J56" s="3">
        <v>0.1024</v>
      </c>
      <c r="K56" s="3">
        <v>1.3976999999999999</v>
      </c>
      <c r="L56" s="3">
        <v>14.264099999999999</v>
      </c>
    </row>
    <row r="57" spans="1:12" x14ac:dyDescent="0.35">
      <c r="A57" s="2" t="s">
        <v>69</v>
      </c>
      <c r="B57" s="2">
        <v>0</v>
      </c>
      <c r="C57" s="2" t="str">
        <f t="shared" si="1"/>
        <v>Non-Bankrupt</v>
      </c>
      <c r="D57" s="2" t="s">
        <v>13</v>
      </c>
      <c r="E57" s="3">
        <v>1.3089999999999999</v>
      </c>
      <c r="F57" s="3">
        <v>1.0626</v>
      </c>
      <c r="G57" s="3">
        <v>0.99890000000000001</v>
      </c>
      <c r="H57" s="3">
        <v>-1.4801</v>
      </c>
      <c r="I57" s="3">
        <v>3.9600000000000003E-2</v>
      </c>
      <c r="J57" s="3">
        <v>3.5499999999999997E-2</v>
      </c>
      <c r="K57" s="3">
        <v>1.2374000000000001</v>
      </c>
      <c r="L57" s="3">
        <v>12.9171</v>
      </c>
    </row>
    <row r="58" spans="1:12" x14ac:dyDescent="0.35">
      <c r="A58" s="2" t="s">
        <v>70</v>
      </c>
      <c r="B58" s="2">
        <v>0</v>
      </c>
      <c r="C58" s="2" t="str">
        <f t="shared" si="1"/>
        <v>Non-Bankrupt</v>
      </c>
      <c r="D58" s="2" t="s">
        <v>13</v>
      </c>
      <c r="E58" s="3">
        <v>1.7659</v>
      </c>
      <c r="F58" s="3">
        <v>0.49969999999999998</v>
      </c>
      <c r="G58" s="3">
        <v>1.2751999999999999</v>
      </c>
      <c r="H58" s="3">
        <v>2.2559</v>
      </c>
      <c r="I58" s="3">
        <v>8.4400000000000003E-2</v>
      </c>
      <c r="J58" s="3">
        <v>0.223</v>
      </c>
      <c r="K58" s="3">
        <v>1.6464000000000001</v>
      </c>
      <c r="L58" s="3">
        <v>16.157900000000001</v>
      </c>
    </row>
    <row r="59" spans="1:12" x14ac:dyDescent="0.35">
      <c r="A59" s="2" t="s">
        <v>71</v>
      </c>
      <c r="B59" s="2">
        <v>0</v>
      </c>
      <c r="C59" s="2" t="str">
        <f t="shared" si="1"/>
        <v>Non-Bankrupt</v>
      </c>
      <c r="D59" s="2" t="s">
        <v>13</v>
      </c>
      <c r="E59" s="3">
        <v>1.86</v>
      </c>
      <c r="F59" s="3">
        <v>2.2233000000000001</v>
      </c>
      <c r="G59" s="3">
        <v>1.4275</v>
      </c>
      <c r="H59" s="3">
        <v>0.57609999999999995</v>
      </c>
      <c r="I59" s="3">
        <v>7.2599999999999998E-2</v>
      </c>
      <c r="J59" s="3">
        <v>-1.6799999999999999E-2</v>
      </c>
      <c r="K59" s="3">
        <v>0.59609999999999996</v>
      </c>
      <c r="L59" s="3">
        <v>14.685600000000001</v>
      </c>
    </row>
    <row r="60" spans="1:12" x14ac:dyDescent="0.35">
      <c r="A60" s="2" t="s">
        <v>72</v>
      </c>
      <c r="B60" s="2">
        <v>1</v>
      </c>
      <c r="C60" s="2" t="str">
        <f t="shared" si="1"/>
        <v>Bankrupt</v>
      </c>
      <c r="D60" s="2" t="s">
        <v>21</v>
      </c>
      <c r="E60" s="3">
        <v>1.8478000000000001</v>
      </c>
      <c r="F60" s="3">
        <v>0.66059999999999997</v>
      </c>
      <c r="G60" s="3">
        <v>1.6440999999999999</v>
      </c>
      <c r="H60" s="3">
        <v>3.3208000000000002</v>
      </c>
      <c r="I60" s="3">
        <v>-2.06E-2</v>
      </c>
      <c r="J60" s="3">
        <v>-0.1239</v>
      </c>
      <c r="K60" s="3">
        <v>0.5635</v>
      </c>
      <c r="L60" s="3">
        <v>15.1624</v>
      </c>
    </row>
    <row r="61" spans="1:12" x14ac:dyDescent="0.35">
      <c r="A61" s="2" t="s">
        <v>73</v>
      </c>
      <c r="B61" s="2">
        <v>1</v>
      </c>
      <c r="C61" s="2" t="str">
        <f t="shared" si="1"/>
        <v>Bankrupt</v>
      </c>
      <c r="D61" s="2" t="s">
        <v>21</v>
      </c>
      <c r="E61" s="3">
        <v>2.3351999999999999</v>
      </c>
      <c r="F61" s="3">
        <v>2.1581000000000001</v>
      </c>
      <c r="G61" s="3">
        <v>1.5468999999999999</v>
      </c>
      <c r="H61" s="3">
        <v>1.8776999999999999</v>
      </c>
      <c r="I61" s="3">
        <v>1.6999999999999999E-3</v>
      </c>
      <c r="J61" s="3">
        <v>-1.1900000000000001E-2</v>
      </c>
      <c r="K61" s="3">
        <v>1.2144999999999999</v>
      </c>
      <c r="L61" s="3">
        <v>15.294700000000001</v>
      </c>
    </row>
    <row r="62" spans="1:12" x14ac:dyDescent="0.35">
      <c r="A62" s="2" t="s">
        <v>74</v>
      </c>
      <c r="B62" s="2">
        <v>0</v>
      </c>
      <c r="C62" s="2" t="str">
        <f t="shared" si="1"/>
        <v>Non-Bankrupt</v>
      </c>
      <c r="D62" s="2" t="s">
        <v>13</v>
      </c>
      <c r="E62" s="3">
        <v>3.0049999999999999</v>
      </c>
      <c r="F62" s="3">
        <v>1.2916000000000001</v>
      </c>
      <c r="G62" s="3">
        <v>0.1153</v>
      </c>
      <c r="H62" s="3">
        <v>7.9092000000000002</v>
      </c>
      <c r="I62" s="3">
        <v>0.19750000000000001</v>
      </c>
      <c r="J62" s="3">
        <v>6.7400000000000002E-2</v>
      </c>
      <c r="K62" s="3">
        <v>1.6691</v>
      </c>
      <c r="L62" s="3">
        <v>16.3476</v>
      </c>
    </row>
    <row r="63" spans="1:12" x14ac:dyDescent="0.35">
      <c r="A63" s="2" t="s">
        <v>75</v>
      </c>
      <c r="B63" s="2">
        <v>0</v>
      </c>
      <c r="C63" s="2" t="str">
        <f t="shared" si="1"/>
        <v>Non-Bankrupt</v>
      </c>
      <c r="D63" s="2" t="s">
        <v>13</v>
      </c>
      <c r="E63" s="3">
        <v>1.3006</v>
      </c>
      <c r="F63" s="3">
        <v>1.5326</v>
      </c>
      <c r="G63" s="3">
        <v>1.0508</v>
      </c>
      <c r="H63" s="3">
        <v>7.9366000000000003</v>
      </c>
      <c r="I63" s="3">
        <v>0.18429999999999999</v>
      </c>
      <c r="J63" s="3">
        <v>0.15579999999999999</v>
      </c>
      <c r="K63" s="3">
        <v>1.5123</v>
      </c>
      <c r="L63" s="3">
        <v>16.900400000000001</v>
      </c>
    </row>
    <row r="64" spans="1:12" x14ac:dyDescent="0.35">
      <c r="A64" s="2" t="s">
        <v>76</v>
      </c>
      <c r="B64" s="2">
        <v>0</v>
      </c>
      <c r="C64" s="2" t="str">
        <f t="shared" si="1"/>
        <v>Non-Bankrupt</v>
      </c>
      <c r="D64" s="2" t="s">
        <v>13</v>
      </c>
      <c r="E64" s="3">
        <v>1.1463000000000001</v>
      </c>
      <c r="F64" s="3">
        <v>0.6099</v>
      </c>
      <c r="G64" s="3">
        <v>1.0024</v>
      </c>
      <c r="H64" s="3">
        <v>5.4520999999999997</v>
      </c>
      <c r="I64" s="3">
        <v>0.15670000000000001</v>
      </c>
      <c r="J64" s="3">
        <v>4.2599999999999999E-2</v>
      </c>
      <c r="K64" s="3">
        <v>1.8125</v>
      </c>
      <c r="L64" s="3">
        <v>14.2685</v>
      </c>
    </row>
    <row r="65" spans="1:12" x14ac:dyDescent="0.35">
      <c r="A65" s="2" t="s">
        <v>77</v>
      </c>
      <c r="B65" s="2">
        <v>0</v>
      </c>
      <c r="C65" s="2" t="str">
        <f t="shared" si="1"/>
        <v>Non-Bankrupt</v>
      </c>
      <c r="D65" s="2" t="s">
        <v>13</v>
      </c>
      <c r="E65" s="3">
        <v>2.0507</v>
      </c>
      <c r="F65" s="3">
        <v>1.2564</v>
      </c>
      <c r="G65" s="3">
        <v>1.8599000000000001</v>
      </c>
      <c r="H65" s="3">
        <v>1.7875000000000001</v>
      </c>
      <c r="I65" s="3">
        <v>0.123</v>
      </c>
      <c r="J65" s="3">
        <v>6.7400000000000002E-2</v>
      </c>
      <c r="K65" s="3">
        <v>1.5442</v>
      </c>
      <c r="L65" s="3">
        <v>11.267899999999999</v>
      </c>
    </row>
    <row r="66" spans="1:12" x14ac:dyDescent="0.35">
      <c r="A66" s="2" t="s">
        <v>78</v>
      </c>
      <c r="B66" s="2">
        <v>0</v>
      </c>
      <c r="C66" s="2" t="str">
        <f t="shared" ref="C66:C97" si="2">IF(B66=1,"Bankrupt","Non-Bankrupt")</f>
        <v>Non-Bankrupt</v>
      </c>
      <c r="D66" s="2" t="s">
        <v>21</v>
      </c>
      <c r="E66" s="3">
        <v>1.4516</v>
      </c>
      <c r="F66" s="3">
        <v>0.63109999999999999</v>
      </c>
      <c r="G66" s="3">
        <v>1.7181999999999999</v>
      </c>
      <c r="H66" s="3">
        <v>0.77700000000000002</v>
      </c>
      <c r="I66" s="3">
        <v>2.5700000000000001E-2</v>
      </c>
      <c r="J66" s="3">
        <v>-6.4299999999999996E-2</v>
      </c>
      <c r="K66" s="3">
        <v>1.7009000000000001</v>
      </c>
      <c r="L66" s="3">
        <v>14.754899999999999</v>
      </c>
    </row>
    <row r="67" spans="1:12" x14ac:dyDescent="0.35">
      <c r="A67" s="2" t="s">
        <v>79</v>
      </c>
      <c r="B67" s="2">
        <v>1</v>
      </c>
      <c r="C67" s="2" t="str">
        <f t="shared" si="2"/>
        <v>Bankrupt</v>
      </c>
      <c r="D67" s="2" t="s">
        <v>13</v>
      </c>
      <c r="E67" s="3">
        <v>0.88219999999999998</v>
      </c>
      <c r="F67" s="3">
        <v>1.5242</v>
      </c>
      <c r="G67" s="3">
        <v>1.8080000000000001</v>
      </c>
      <c r="H67" s="3">
        <v>1.3435999999999999</v>
      </c>
      <c r="I67" s="3">
        <v>-2.1600000000000001E-2</v>
      </c>
      <c r="J67" s="3">
        <v>-4.1300000000000003E-2</v>
      </c>
      <c r="K67" s="3">
        <v>0.89890000000000003</v>
      </c>
      <c r="L67" s="3">
        <v>13.2568</v>
      </c>
    </row>
    <row r="68" spans="1:12" x14ac:dyDescent="0.35">
      <c r="A68" s="2" t="s">
        <v>80</v>
      </c>
      <c r="B68" s="2">
        <v>1</v>
      </c>
      <c r="C68" s="2" t="str">
        <f t="shared" si="2"/>
        <v>Bankrupt</v>
      </c>
      <c r="D68" s="2" t="s">
        <v>21</v>
      </c>
      <c r="E68" s="3">
        <v>1.3404</v>
      </c>
      <c r="F68" s="3">
        <v>0.60660000000000003</v>
      </c>
      <c r="G68" s="3">
        <v>1.593</v>
      </c>
      <c r="H68" s="3">
        <v>-1.0263</v>
      </c>
      <c r="I68" s="3">
        <v>-6.4799999999999996E-2</v>
      </c>
      <c r="J68" s="3">
        <v>5.1400000000000001E-2</v>
      </c>
      <c r="K68" s="3">
        <v>1.4559</v>
      </c>
      <c r="L68" s="3">
        <v>12.8978</v>
      </c>
    </row>
    <row r="69" spans="1:12" x14ac:dyDescent="0.35">
      <c r="A69" s="2" t="s">
        <v>81</v>
      </c>
      <c r="B69" s="2">
        <v>0</v>
      </c>
      <c r="C69" s="2" t="str">
        <f t="shared" si="2"/>
        <v>Non-Bankrupt</v>
      </c>
      <c r="D69" s="2" t="s">
        <v>13</v>
      </c>
      <c r="E69" s="3">
        <v>0.85150000000000003</v>
      </c>
      <c r="F69" s="3">
        <v>1.7024999999999999</v>
      </c>
      <c r="G69" s="3">
        <v>0.66449999999999998</v>
      </c>
      <c r="H69" s="3">
        <v>11.1241</v>
      </c>
      <c r="I69" s="3">
        <v>0.16500000000000001</v>
      </c>
      <c r="J69" s="3">
        <v>4.2700000000000002E-2</v>
      </c>
      <c r="K69" s="3">
        <v>0.76829999999999998</v>
      </c>
      <c r="L69" s="3">
        <v>14.438000000000001</v>
      </c>
    </row>
    <row r="70" spans="1:12" x14ac:dyDescent="0.35">
      <c r="A70" s="2" t="s">
        <v>82</v>
      </c>
      <c r="B70" s="2">
        <v>1</v>
      </c>
      <c r="C70" s="2" t="str">
        <f t="shared" si="2"/>
        <v>Bankrupt</v>
      </c>
      <c r="D70" s="2" t="s">
        <v>13</v>
      </c>
      <c r="E70" s="3">
        <v>1.0979000000000001</v>
      </c>
      <c r="F70" s="3">
        <v>0.63539999999999996</v>
      </c>
      <c r="G70" s="3">
        <v>2.1393</v>
      </c>
      <c r="H70" s="3">
        <v>5.6300999999999997</v>
      </c>
      <c r="I70" s="3">
        <v>8.3000000000000001E-3</v>
      </c>
      <c r="J70" s="3">
        <v>2.0899999999999998E-2</v>
      </c>
      <c r="K70" s="3">
        <v>1.9134</v>
      </c>
      <c r="L70" s="3">
        <v>14.9474</v>
      </c>
    </row>
    <row r="71" spans="1:12" x14ac:dyDescent="0.35">
      <c r="A71" s="2" t="s">
        <v>83</v>
      </c>
      <c r="B71" s="2">
        <v>1</v>
      </c>
      <c r="C71" s="2" t="str">
        <f t="shared" si="2"/>
        <v>Bankrupt</v>
      </c>
      <c r="D71" s="2" t="s">
        <v>13</v>
      </c>
      <c r="E71" s="3">
        <v>0.80089999999999995</v>
      </c>
      <c r="F71" s="3">
        <v>1.0226999999999999</v>
      </c>
      <c r="G71" s="3">
        <v>1.9363999999999999</v>
      </c>
      <c r="H71" s="3">
        <v>2.6248</v>
      </c>
      <c r="I71" s="3">
        <v>-8.0999999999999996E-3</v>
      </c>
      <c r="J71" s="3">
        <v>0.1207</v>
      </c>
      <c r="K71" s="3">
        <v>0.85780000000000001</v>
      </c>
      <c r="L71" s="3">
        <v>13.3758</v>
      </c>
    </row>
    <row r="72" spans="1:12" x14ac:dyDescent="0.35">
      <c r="A72" s="2" t="s">
        <v>84</v>
      </c>
      <c r="B72" s="2">
        <v>0</v>
      </c>
      <c r="C72" s="2" t="str">
        <f t="shared" si="2"/>
        <v>Non-Bankrupt</v>
      </c>
      <c r="D72" s="2" t="s">
        <v>21</v>
      </c>
      <c r="E72" s="3">
        <v>1.0891999999999999</v>
      </c>
      <c r="F72" s="3">
        <v>0.5333</v>
      </c>
      <c r="G72" s="3">
        <v>1.6774</v>
      </c>
      <c r="H72" s="3">
        <v>9.3886000000000003</v>
      </c>
      <c r="I72" s="3">
        <v>0.1618</v>
      </c>
      <c r="J72" s="3">
        <v>8.7999999999999995E-2</v>
      </c>
      <c r="K72" s="3">
        <v>0.69910000000000005</v>
      </c>
      <c r="L72" s="3">
        <v>14.2158</v>
      </c>
    </row>
    <row r="73" spans="1:12" x14ac:dyDescent="0.35">
      <c r="A73" s="2" t="s">
        <v>85</v>
      </c>
      <c r="B73" s="2">
        <v>0</v>
      </c>
      <c r="C73" s="2" t="str">
        <f t="shared" si="2"/>
        <v>Non-Bankrupt</v>
      </c>
      <c r="D73" s="2" t="s">
        <v>13</v>
      </c>
      <c r="E73" s="3">
        <v>1.5979000000000001</v>
      </c>
      <c r="F73" s="3">
        <v>1.3151999999999999</v>
      </c>
      <c r="G73" s="3">
        <v>1.1677</v>
      </c>
      <c r="H73" s="3">
        <v>5.9485000000000001</v>
      </c>
      <c r="I73" s="3">
        <v>7.6200000000000004E-2</v>
      </c>
      <c r="J73" s="3">
        <v>0.1205</v>
      </c>
      <c r="K73" s="3">
        <v>0.9546</v>
      </c>
      <c r="L73" s="3">
        <v>16.0306</v>
      </c>
    </row>
    <row r="74" spans="1:12" x14ac:dyDescent="0.35">
      <c r="A74" s="2" t="s">
        <v>86</v>
      </c>
      <c r="B74" s="2">
        <v>0</v>
      </c>
      <c r="C74" s="2" t="str">
        <f t="shared" si="2"/>
        <v>Non-Bankrupt</v>
      </c>
      <c r="D74" s="2" t="s">
        <v>13</v>
      </c>
      <c r="E74" s="3">
        <v>2.2536999999999998</v>
      </c>
      <c r="F74" s="3">
        <v>0.66569999999999996</v>
      </c>
      <c r="G74" s="3">
        <v>1.1619999999999999</v>
      </c>
      <c r="H74" s="3">
        <v>7.4748999999999999</v>
      </c>
      <c r="I74" s="3">
        <v>7.9299999999999995E-2</v>
      </c>
      <c r="J74" s="3">
        <v>-1.8700000000000001E-2</v>
      </c>
      <c r="K74" s="3">
        <v>1.0495000000000001</v>
      </c>
      <c r="L74" s="3">
        <v>14.493499999999999</v>
      </c>
    </row>
    <row r="75" spans="1:12" x14ac:dyDescent="0.35">
      <c r="A75" s="2" t="s">
        <v>87</v>
      </c>
      <c r="B75" s="2">
        <v>0</v>
      </c>
      <c r="C75" s="2" t="str">
        <f t="shared" si="2"/>
        <v>Non-Bankrupt</v>
      </c>
      <c r="D75" s="2" t="s">
        <v>21</v>
      </c>
      <c r="E75" s="3">
        <v>0.83650000000000002</v>
      </c>
      <c r="F75" s="3">
        <v>1.2366999999999999</v>
      </c>
      <c r="G75" s="3">
        <v>1.448</v>
      </c>
      <c r="H75" s="3">
        <v>7.4027000000000003</v>
      </c>
      <c r="I75" s="3">
        <v>-1E-3</v>
      </c>
      <c r="J75" s="3">
        <v>8.9499999999999996E-2</v>
      </c>
      <c r="K75" s="3">
        <v>1.2456</v>
      </c>
      <c r="L75" s="3">
        <v>16.863299999999999</v>
      </c>
    </row>
    <row r="76" spans="1:12" x14ac:dyDescent="0.35">
      <c r="A76" s="2" t="s">
        <v>88</v>
      </c>
      <c r="B76" s="2">
        <v>0</v>
      </c>
      <c r="C76" s="2" t="str">
        <f t="shared" si="2"/>
        <v>Non-Bankrupt</v>
      </c>
      <c r="D76" s="2" t="s">
        <v>21</v>
      </c>
      <c r="E76" s="3">
        <v>2.0722</v>
      </c>
      <c r="F76" s="3">
        <v>0.67</v>
      </c>
      <c r="G76" s="3">
        <v>0.96360000000000001</v>
      </c>
      <c r="H76" s="3">
        <v>2.5419</v>
      </c>
      <c r="I76" s="3">
        <v>9.5100000000000004E-2</v>
      </c>
      <c r="J76" s="3">
        <v>0.11550000000000001</v>
      </c>
      <c r="K76" s="3">
        <v>0.93720000000000003</v>
      </c>
      <c r="L76" s="3">
        <v>16.4085</v>
      </c>
    </row>
    <row r="77" spans="1:12" x14ac:dyDescent="0.35">
      <c r="A77" s="2" t="s">
        <v>89</v>
      </c>
      <c r="B77" s="2">
        <v>0</v>
      </c>
      <c r="C77" s="2" t="str">
        <f t="shared" si="2"/>
        <v>Non-Bankrupt</v>
      </c>
      <c r="D77" s="2" t="s">
        <v>13</v>
      </c>
      <c r="E77" s="3">
        <v>1.3826000000000001</v>
      </c>
      <c r="F77" s="3">
        <v>1.9410000000000001</v>
      </c>
      <c r="G77" s="3">
        <v>0.58050000000000002</v>
      </c>
      <c r="H77" s="3">
        <v>2.0703</v>
      </c>
      <c r="I77" s="3">
        <v>0.13950000000000001</v>
      </c>
      <c r="J77" s="3">
        <v>6.4299999999999996E-2</v>
      </c>
      <c r="K77" s="3">
        <v>1.8724000000000001</v>
      </c>
      <c r="L77" s="3">
        <v>15.4046</v>
      </c>
    </row>
    <row r="78" spans="1:12" x14ac:dyDescent="0.35">
      <c r="A78" s="2" t="s">
        <v>90</v>
      </c>
      <c r="B78" s="2">
        <v>0</v>
      </c>
      <c r="C78" s="2" t="str">
        <f t="shared" si="2"/>
        <v>Non-Bankrupt</v>
      </c>
      <c r="D78" s="2" t="s">
        <v>13</v>
      </c>
      <c r="E78" s="3">
        <v>1.4532</v>
      </c>
      <c r="F78" s="3">
        <v>0.98360000000000003</v>
      </c>
      <c r="G78" s="3">
        <v>0.28260000000000002</v>
      </c>
      <c r="H78" s="3">
        <v>9.0612999999999992</v>
      </c>
      <c r="I78" s="3">
        <v>6.8099999999999994E-2</v>
      </c>
      <c r="J78" s="3">
        <v>5.2900000000000003E-2</v>
      </c>
      <c r="K78" s="3">
        <v>1.8320000000000001</v>
      </c>
      <c r="L78" s="3">
        <v>13.139099999999999</v>
      </c>
    </row>
    <row r="79" spans="1:12" x14ac:dyDescent="0.35">
      <c r="A79" s="2" t="s">
        <v>91</v>
      </c>
      <c r="B79" s="2">
        <v>0</v>
      </c>
      <c r="C79" s="2" t="str">
        <f t="shared" si="2"/>
        <v>Non-Bankrupt</v>
      </c>
      <c r="D79" s="2" t="s">
        <v>13</v>
      </c>
      <c r="E79" s="3">
        <v>1.3130999999999999</v>
      </c>
      <c r="F79" s="3">
        <v>1.1196999999999999</v>
      </c>
      <c r="G79" s="3">
        <v>1.1791</v>
      </c>
      <c r="H79" s="3">
        <v>6.1406000000000001</v>
      </c>
      <c r="I79" s="3">
        <v>3.5499999999999997E-2</v>
      </c>
      <c r="J79" s="3">
        <v>-9.4000000000000004E-3</v>
      </c>
      <c r="K79" s="3">
        <v>0.94210000000000005</v>
      </c>
      <c r="L79" s="3">
        <v>15.6198</v>
      </c>
    </row>
    <row r="80" spans="1:12" x14ac:dyDescent="0.35">
      <c r="A80" s="2" t="s">
        <v>92</v>
      </c>
      <c r="B80" s="2">
        <v>0</v>
      </c>
      <c r="C80" s="2" t="str">
        <f t="shared" si="2"/>
        <v>Non-Bankrupt</v>
      </c>
      <c r="D80" s="2" t="s">
        <v>13</v>
      </c>
      <c r="E80" s="3">
        <v>1.3925000000000001</v>
      </c>
      <c r="F80" s="3">
        <v>0.98770000000000002</v>
      </c>
      <c r="G80" s="3">
        <v>1.6134999999999999</v>
      </c>
      <c r="H80" s="3">
        <v>6.5419</v>
      </c>
      <c r="I80" s="3">
        <v>5.3999999999999999E-2</v>
      </c>
      <c r="J80" s="3">
        <v>5.4399999999999997E-2</v>
      </c>
      <c r="K80" s="3">
        <v>1.3788</v>
      </c>
      <c r="L80" s="3">
        <v>14.239699999999999</v>
      </c>
    </row>
    <row r="81" spans="1:12" x14ac:dyDescent="0.35">
      <c r="A81" s="2" t="s">
        <v>93</v>
      </c>
      <c r="B81" s="2">
        <v>1</v>
      </c>
      <c r="C81" s="2" t="str">
        <f t="shared" si="2"/>
        <v>Bankrupt</v>
      </c>
      <c r="D81" s="2" t="s">
        <v>13</v>
      </c>
      <c r="E81" s="3">
        <v>0.995</v>
      </c>
      <c r="F81" s="3">
        <v>1.2799</v>
      </c>
      <c r="G81" s="3">
        <v>1.4447000000000001</v>
      </c>
      <c r="H81" s="3">
        <v>1.8857999999999999</v>
      </c>
      <c r="I81" s="3">
        <v>-5.04E-2</v>
      </c>
      <c r="J81" s="3">
        <v>5.5300000000000002E-2</v>
      </c>
      <c r="K81" s="3">
        <v>0.70089999999999997</v>
      </c>
      <c r="L81" s="3">
        <v>15.3695</v>
      </c>
    </row>
    <row r="82" spans="1:12" x14ac:dyDescent="0.35">
      <c r="A82" s="2" t="s">
        <v>94</v>
      </c>
      <c r="B82" s="2">
        <v>0</v>
      </c>
      <c r="C82" s="2" t="str">
        <f t="shared" si="2"/>
        <v>Non-Bankrupt</v>
      </c>
      <c r="D82" s="2" t="s">
        <v>13</v>
      </c>
      <c r="E82" s="3">
        <v>1.0691999999999999</v>
      </c>
      <c r="F82" s="3">
        <v>1.0778000000000001</v>
      </c>
      <c r="G82" s="3">
        <v>1.3658999999999999</v>
      </c>
      <c r="H82" s="3">
        <v>2.8866000000000001</v>
      </c>
      <c r="I82" s="3">
        <v>4.1000000000000003E-3</v>
      </c>
      <c r="J82" s="3">
        <v>7.7899999999999997E-2</v>
      </c>
      <c r="K82" s="3">
        <v>1.6871</v>
      </c>
      <c r="L82" s="3">
        <v>13.862500000000001</v>
      </c>
    </row>
    <row r="83" spans="1:12" x14ac:dyDescent="0.35">
      <c r="A83" s="2" t="s">
        <v>95</v>
      </c>
      <c r="B83" s="2">
        <v>0</v>
      </c>
      <c r="C83" s="2" t="str">
        <f t="shared" si="2"/>
        <v>Non-Bankrupt</v>
      </c>
      <c r="D83" s="2" t="s">
        <v>13</v>
      </c>
      <c r="E83" s="3">
        <v>1.3733</v>
      </c>
      <c r="F83" s="3">
        <v>0.52690000000000003</v>
      </c>
      <c r="G83" s="3">
        <v>0.16839999999999999</v>
      </c>
      <c r="H83" s="3">
        <v>3.56</v>
      </c>
      <c r="I83" s="3">
        <v>9.2899999999999996E-2</v>
      </c>
      <c r="J83" s="3">
        <v>-9.2999999999999992E-3</v>
      </c>
      <c r="K83" s="3">
        <v>1.0881000000000001</v>
      </c>
      <c r="L83" s="3">
        <v>16.6829</v>
      </c>
    </row>
    <row r="84" spans="1:12" x14ac:dyDescent="0.35">
      <c r="A84" s="2" t="s">
        <v>96</v>
      </c>
      <c r="B84" s="2">
        <v>0</v>
      </c>
      <c r="C84" s="2" t="str">
        <f t="shared" si="2"/>
        <v>Non-Bankrupt</v>
      </c>
      <c r="D84" s="2" t="s">
        <v>21</v>
      </c>
      <c r="E84" s="3">
        <v>1.6267</v>
      </c>
      <c r="F84" s="3">
        <v>2.7059000000000002</v>
      </c>
      <c r="G84" s="3">
        <v>1.3953</v>
      </c>
      <c r="H84" s="3">
        <v>5.4375999999999998</v>
      </c>
      <c r="I84" s="3">
        <v>8.2199999999999995E-2</v>
      </c>
      <c r="J84" s="3">
        <v>2.3300000000000001E-2</v>
      </c>
      <c r="K84" s="3">
        <v>1.8794999999999999</v>
      </c>
      <c r="L84" s="3">
        <v>16.4817</v>
      </c>
    </row>
    <row r="85" spans="1:12" x14ac:dyDescent="0.35">
      <c r="A85" s="2" t="s">
        <v>97</v>
      </c>
      <c r="B85" s="2">
        <v>0</v>
      </c>
      <c r="C85" s="2" t="str">
        <f t="shared" si="2"/>
        <v>Non-Bankrupt</v>
      </c>
      <c r="D85" s="2" t="s">
        <v>13</v>
      </c>
      <c r="E85" s="3">
        <v>0.92579999999999996</v>
      </c>
      <c r="F85" s="3">
        <v>1.5968</v>
      </c>
      <c r="G85" s="3">
        <v>0.8306</v>
      </c>
      <c r="H85" s="3">
        <v>3.2667999999999999</v>
      </c>
      <c r="I85" s="3">
        <v>0.16370000000000001</v>
      </c>
      <c r="J85" s="3">
        <v>8.6300000000000002E-2</v>
      </c>
      <c r="K85" s="3">
        <v>1.1738999999999999</v>
      </c>
      <c r="L85" s="3">
        <v>14.3887</v>
      </c>
    </row>
    <row r="86" spans="1:12" x14ac:dyDescent="0.35">
      <c r="A86" s="2" t="s">
        <v>98</v>
      </c>
      <c r="B86" s="2">
        <v>0</v>
      </c>
      <c r="C86" s="2" t="str">
        <f t="shared" si="2"/>
        <v>Non-Bankrupt</v>
      </c>
      <c r="D86" s="2" t="s">
        <v>13</v>
      </c>
      <c r="E86" s="3">
        <v>2.0663999999999998</v>
      </c>
      <c r="F86" s="3">
        <v>0.8276</v>
      </c>
      <c r="G86" s="3">
        <v>0.76490000000000002</v>
      </c>
      <c r="H86" s="3">
        <v>9.4931000000000001</v>
      </c>
      <c r="I86" s="3">
        <v>0.1028</v>
      </c>
      <c r="J86" s="3">
        <v>0.13469999999999999</v>
      </c>
      <c r="K86" s="3">
        <v>1.2038</v>
      </c>
      <c r="L86" s="3">
        <v>17.375599999999999</v>
      </c>
    </row>
    <row r="87" spans="1:12" x14ac:dyDescent="0.35">
      <c r="A87" s="2" t="s">
        <v>99</v>
      </c>
      <c r="B87" s="2">
        <v>0</v>
      </c>
      <c r="C87" s="2" t="str">
        <f t="shared" si="2"/>
        <v>Non-Bankrupt</v>
      </c>
      <c r="D87" s="2" t="s">
        <v>13</v>
      </c>
      <c r="E87" s="3">
        <v>2.3491</v>
      </c>
      <c r="F87" s="3">
        <v>1.1779999999999999</v>
      </c>
      <c r="G87" s="3">
        <v>1.5119</v>
      </c>
      <c r="H87" s="3">
        <v>8.4321999999999999</v>
      </c>
      <c r="I87" s="3">
        <v>-4.4000000000000003E-3</v>
      </c>
      <c r="J87" s="3">
        <v>-5.33E-2</v>
      </c>
      <c r="K87" s="3">
        <v>1.4571000000000001</v>
      </c>
      <c r="L87" s="3">
        <v>12.382999999999999</v>
      </c>
    </row>
    <row r="88" spans="1:12" x14ac:dyDescent="0.35">
      <c r="A88" s="2" t="s">
        <v>100</v>
      </c>
      <c r="B88" s="2">
        <v>0</v>
      </c>
      <c r="C88" s="2" t="str">
        <f t="shared" si="2"/>
        <v>Non-Bankrupt</v>
      </c>
      <c r="D88" s="2" t="s">
        <v>21</v>
      </c>
      <c r="E88" s="3">
        <v>1.5466</v>
      </c>
      <c r="F88" s="3">
        <v>1.1528</v>
      </c>
      <c r="G88" s="3">
        <v>1.0751999999999999</v>
      </c>
      <c r="H88" s="3">
        <v>3.2959000000000001</v>
      </c>
      <c r="I88" s="3">
        <v>4.4999999999999997E-3</v>
      </c>
      <c r="J88" s="3">
        <v>6.7400000000000002E-2</v>
      </c>
      <c r="K88" s="3">
        <v>1.8315999999999999</v>
      </c>
      <c r="L88" s="3">
        <v>12.646100000000001</v>
      </c>
    </row>
    <row r="89" spans="1:12" x14ac:dyDescent="0.35">
      <c r="A89" s="2" t="s">
        <v>101</v>
      </c>
      <c r="B89" s="2">
        <v>0</v>
      </c>
      <c r="C89" s="2" t="str">
        <f t="shared" si="2"/>
        <v>Non-Bankrupt</v>
      </c>
      <c r="D89" s="2" t="s">
        <v>13</v>
      </c>
      <c r="E89" s="3">
        <v>1.4622999999999999</v>
      </c>
      <c r="F89" s="3">
        <v>1.5646</v>
      </c>
      <c r="G89" s="3">
        <v>0.9123</v>
      </c>
      <c r="H89" s="3">
        <v>2.9958999999999998</v>
      </c>
      <c r="I89" s="3">
        <v>0.1133</v>
      </c>
      <c r="J89" s="3">
        <v>0.11260000000000001</v>
      </c>
      <c r="K89" s="3">
        <v>0.86309999999999998</v>
      </c>
      <c r="L89" s="3">
        <v>13.936</v>
      </c>
    </row>
    <row r="90" spans="1:12" x14ac:dyDescent="0.35">
      <c r="A90" s="2" t="s">
        <v>102</v>
      </c>
      <c r="B90" s="2">
        <v>1</v>
      </c>
      <c r="C90" s="2" t="str">
        <f t="shared" si="2"/>
        <v>Bankrupt</v>
      </c>
      <c r="D90" s="2" t="s">
        <v>13</v>
      </c>
      <c r="E90" s="3">
        <v>1.9527000000000001</v>
      </c>
      <c r="F90" s="3">
        <v>0.4395</v>
      </c>
      <c r="G90" s="3">
        <v>1.0474000000000001</v>
      </c>
      <c r="H90" s="3">
        <v>4.5415999999999999</v>
      </c>
      <c r="I90" s="3">
        <v>-7.1800000000000003E-2</v>
      </c>
      <c r="J90" s="3">
        <v>2.4E-2</v>
      </c>
      <c r="K90" s="3">
        <v>0.85870000000000002</v>
      </c>
      <c r="L90" s="3">
        <v>14.2753</v>
      </c>
    </row>
    <row r="91" spans="1:12" x14ac:dyDescent="0.35">
      <c r="A91" s="2" t="s">
        <v>103</v>
      </c>
      <c r="B91" s="2">
        <v>0</v>
      </c>
      <c r="C91" s="2" t="str">
        <f t="shared" si="2"/>
        <v>Non-Bankrupt</v>
      </c>
      <c r="D91" s="2" t="s">
        <v>13</v>
      </c>
      <c r="E91" s="3">
        <v>1.1695</v>
      </c>
      <c r="F91" s="3">
        <v>0.51060000000000005</v>
      </c>
      <c r="G91" s="3">
        <v>1.5924</v>
      </c>
      <c r="H91" s="3">
        <v>2.5446</v>
      </c>
      <c r="I91" s="3">
        <v>-2.4E-2</v>
      </c>
      <c r="J91" s="3">
        <v>0.11559999999999999</v>
      </c>
      <c r="K91" s="3">
        <v>1.4345000000000001</v>
      </c>
      <c r="L91" s="3">
        <v>11.139099999999999</v>
      </c>
    </row>
    <row r="92" spans="1:12" x14ac:dyDescent="0.35">
      <c r="A92" s="2" t="s">
        <v>104</v>
      </c>
      <c r="B92" s="2">
        <v>1</v>
      </c>
      <c r="C92" s="2" t="str">
        <f t="shared" si="2"/>
        <v>Bankrupt</v>
      </c>
      <c r="D92" s="2" t="s">
        <v>13</v>
      </c>
      <c r="E92" s="3">
        <v>1.4751000000000001</v>
      </c>
      <c r="F92" s="3">
        <v>0.90090000000000003</v>
      </c>
      <c r="G92" s="3">
        <v>1.6337999999999999</v>
      </c>
      <c r="H92" s="3">
        <v>-0.1024</v>
      </c>
      <c r="I92" s="3">
        <v>0.12640000000000001</v>
      </c>
      <c r="J92" s="3">
        <v>-8.0199999999999994E-2</v>
      </c>
      <c r="K92" s="3">
        <v>0.70220000000000005</v>
      </c>
      <c r="L92" s="3">
        <v>14.3086</v>
      </c>
    </row>
    <row r="93" spans="1:12" x14ac:dyDescent="0.35">
      <c r="A93" s="2" t="s">
        <v>105</v>
      </c>
      <c r="B93" s="2">
        <v>1</v>
      </c>
      <c r="C93" s="2" t="str">
        <f t="shared" si="2"/>
        <v>Bankrupt</v>
      </c>
      <c r="D93" s="2" t="s">
        <v>21</v>
      </c>
      <c r="E93" s="3">
        <v>1.6803999999999999</v>
      </c>
      <c r="F93" s="3">
        <v>0.6885</v>
      </c>
      <c r="G93" s="3">
        <v>2.2650999999999999</v>
      </c>
      <c r="H93" s="3">
        <v>10.7563</v>
      </c>
      <c r="I93" s="3">
        <v>1.6999999999999999E-3</v>
      </c>
      <c r="J93" s="3">
        <v>5.5999999999999999E-3</v>
      </c>
      <c r="K93" s="3">
        <v>0.69840000000000002</v>
      </c>
      <c r="L93" s="3">
        <v>13.852600000000001</v>
      </c>
    </row>
    <row r="94" spans="1:12" x14ac:dyDescent="0.35">
      <c r="A94" s="2" t="s">
        <v>106</v>
      </c>
      <c r="B94" s="2">
        <v>0</v>
      </c>
      <c r="C94" s="2" t="str">
        <f t="shared" si="2"/>
        <v>Non-Bankrupt</v>
      </c>
      <c r="D94" s="2" t="s">
        <v>21</v>
      </c>
      <c r="E94" s="3">
        <v>0.84040000000000004</v>
      </c>
      <c r="F94" s="3">
        <v>0.72170000000000001</v>
      </c>
      <c r="G94" s="3">
        <v>0.8306</v>
      </c>
      <c r="H94" s="3">
        <v>4.3861999999999997</v>
      </c>
      <c r="I94" s="3">
        <v>4.19E-2</v>
      </c>
      <c r="J94" s="3">
        <v>0.1759</v>
      </c>
      <c r="K94" s="3">
        <v>1.5092000000000001</v>
      </c>
      <c r="L94" s="3">
        <v>15.160500000000001</v>
      </c>
    </row>
    <row r="95" spans="1:12" x14ac:dyDescent="0.35">
      <c r="A95" s="2" t="s">
        <v>107</v>
      </c>
      <c r="B95" s="2">
        <v>1</v>
      </c>
      <c r="C95" s="2" t="str">
        <f t="shared" si="2"/>
        <v>Bankrupt</v>
      </c>
      <c r="D95" s="2" t="s">
        <v>13</v>
      </c>
      <c r="E95" s="3">
        <v>1.8483000000000001</v>
      </c>
      <c r="F95" s="3">
        <v>0.70279999999999998</v>
      </c>
      <c r="G95" s="3">
        <v>0.7984</v>
      </c>
      <c r="H95" s="3">
        <v>5.8997000000000002</v>
      </c>
      <c r="I95" s="3">
        <v>7.8299999999999995E-2</v>
      </c>
      <c r="J95" s="3">
        <v>-0.19400000000000001</v>
      </c>
      <c r="K95" s="3">
        <v>1.3166</v>
      </c>
      <c r="L95" s="3">
        <v>14.028</v>
      </c>
    </row>
    <row r="96" spans="1:12" x14ac:dyDescent="0.35">
      <c r="A96" s="2" t="s">
        <v>108</v>
      </c>
      <c r="B96" s="2">
        <v>0</v>
      </c>
      <c r="C96" s="2" t="str">
        <f t="shared" si="2"/>
        <v>Non-Bankrupt</v>
      </c>
      <c r="D96" s="2" t="s">
        <v>21</v>
      </c>
      <c r="E96" s="3">
        <v>1.7169000000000001</v>
      </c>
      <c r="F96" s="3">
        <v>0.70860000000000001</v>
      </c>
      <c r="G96" s="3">
        <v>1.2011000000000001</v>
      </c>
      <c r="H96" s="3">
        <v>8.9756999999999998</v>
      </c>
      <c r="I96" s="3">
        <v>4.2999999999999997E-2</v>
      </c>
      <c r="J96" s="3">
        <v>-8.2199999999999995E-2</v>
      </c>
      <c r="K96" s="3">
        <v>1.1845000000000001</v>
      </c>
      <c r="L96" s="3">
        <v>15.495200000000001</v>
      </c>
    </row>
    <row r="97" spans="1:12" x14ac:dyDescent="0.35">
      <c r="A97" s="2" t="s">
        <v>109</v>
      </c>
      <c r="B97" s="2">
        <v>0</v>
      </c>
      <c r="C97" s="2" t="str">
        <f t="shared" si="2"/>
        <v>Non-Bankrupt</v>
      </c>
      <c r="D97" s="2" t="s">
        <v>13</v>
      </c>
      <c r="E97" s="3">
        <v>1.6754</v>
      </c>
      <c r="F97" s="3">
        <v>1.2821</v>
      </c>
      <c r="G97" s="3">
        <v>0.42209999999999998</v>
      </c>
      <c r="H97" s="3">
        <v>5.8308999999999997</v>
      </c>
      <c r="I97" s="3">
        <v>2.5700000000000001E-2</v>
      </c>
      <c r="J97" s="3">
        <v>0.2102</v>
      </c>
      <c r="K97" s="3">
        <v>0.86280000000000001</v>
      </c>
      <c r="L97" s="3">
        <v>15.412000000000001</v>
      </c>
    </row>
    <row r="98" spans="1:12" x14ac:dyDescent="0.35">
      <c r="A98" s="2" t="s">
        <v>110</v>
      </c>
      <c r="B98" s="2">
        <v>0</v>
      </c>
      <c r="C98" s="2" t="str">
        <f t="shared" ref="C98:C129" si="3">IF(B98=1,"Bankrupt","Non-Bankrupt")</f>
        <v>Non-Bankrupt</v>
      </c>
      <c r="D98" s="2" t="s">
        <v>13</v>
      </c>
      <c r="E98" s="3">
        <v>2.3435000000000001</v>
      </c>
      <c r="F98" s="3">
        <v>1.4756</v>
      </c>
      <c r="G98" s="3">
        <v>1.5093000000000001</v>
      </c>
      <c r="H98" s="3">
        <v>10.9491</v>
      </c>
      <c r="I98" s="3">
        <v>2.5700000000000001E-2</v>
      </c>
      <c r="J98" s="3">
        <v>6.7000000000000004E-2</v>
      </c>
      <c r="K98" s="3">
        <v>1.4166000000000001</v>
      </c>
      <c r="L98" s="3">
        <v>14.254799999999999</v>
      </c>
    </row>
    <row r="99" spans="1:12" x14ac:dyDescent="0.35">
      <c r="A99" s="2" t="s">
        <v>111</v>
      </c>
      <c r="B99" s="2">
        <v>0</v>
      </c>
      <c r="C99" s="2" t="str">
        <f t="shared" si="3"/>
        <v>Non-Bankrupt</v>
      </c>
      <c r="D99" s="2" t="s">
        <v>13</v>
      </c>
      <c r="E99" s="3">
        <v>1.5881000000000001</v>
      </c>
      <c r="F99" s="3">
        <v>0.77769999999999995</v>
      </c>
      <c r="G99" s="3">
        <v>1.2011000000000001</v>
      </c>
      <c r="H99" s="3">
        <v>10.650399999999999</v>
      </c>
      <c r="I99" s="3">
        <v>4.4999999999999997E-3</v>
      </c>
      <c r="J99" s="3">
        <v>9.6799999999999997E-2</v>
      </c>
      <c r="K99" s="3">
        <v>1.6711</v>
      </c>
      <c r="L99" s="3">
        <v>16.032699999999998</v>
      </c>
    </row>
    <row r="100" spans="1:12" x14ac:dyDescent="0.35">
      <c r="A100" s="2" t="s">
        <v>112</v>
      </c>
      <c r="B100" s="2">
        <v>0</v>
      </c>
      <c r="C100" s="2" t="str">
        <f t="shared" si="3"/>
        <v>Non-Bankrupt</v>
      </c>
      <c r="D100" s="2" t="s">
        <v>13</v>
      </c>
      <c r="E100" s="3">
        <v>0.9889</v>
      </c>
      <c r="F100" s="3">
        <v>1.0492999999999999</v>
      </c>
      <c r="G100" s="3">
        <v>1.1238999999999999</v>
      </c>
      <c r="H100" s="3">
        <v>0.218</v>
      </c>
      <c r="I100" s="3">
        <v>-1.6E-2</v>
      </c>
      <c r="J100" s="3">
        <v>4.7699999999999999E-2</v>
      </c>
      <c r="K100" s="3">
        <v>1.0848</v>
      </c>
      <c r="L100" s="3">
        <v>14.396599999999999</v>
      </c>
    </row>
    <row r="101" spans="1:12" x14ac:dyDescent="0.35">
      <c r="A101" s="2" t="s">
        <v>113</v>
      </c>
      <c r="B101" s="2">
        <v>0</v>
      </c>
      <c r="C101" s="2" t="str">
        <f t="shared" si="3"/>
        <v>Non-Bankrupt</v>
      </c>
      <c r="D101" s="2" t="s">
        <v>13</v>
      </c>
      <c r="E101" s="3">
        <v>1.8604000000000001</v>
      </c>
      <c r="F101" s="3">
        <v>1.2032</v>
      </c>
      <c r="G101" s="3">
        <v>1.2011000000000001</v>
      </c>
      <c r="H101" s="3">
        <v>1.1319999999999999</v>
      </c>
      <c r="I101" s="3">
        <v>-2.1600000000000001E-2</v>
      </c>
      <c r="J101" s="3">
        <v>9.5100000000000004E-2</v>
      </c>
      <c r="K101" s="3">
        <v>1.2992999999999999</v>
      </c>
      <c r="L101" s="3">
        <v>14.571899999999999</v>
      </c>
    </row>
    <row r="102" spans="1:12" x14ac:dyDescent="0.35">
      <c r="A102" s="2" t="s">
        <v>114</v>
      </c>
      <c r="B102" s="2">
        <v>0</v>
      </c>
      <c r="C102" s="2" t="str">
        <f t="shared" si="3"/>
        <v>Non-Bankrupt</v>
      </c>
      <c r="D102" s="2" t="s">
        <v>13</v>
      </c>
      <c r="E102" s="3">
        <v>1.821</v>
      </c>
      <c r="F102" s="3">
        <v>1.1428</v>
      </c>
      <c r="G102" s="3">
        <v>0.8306</v>
      </c>
      <c r="H102" s="3">
        <v>7.1082999999999998</v>
      </c>
      <c r="I102" s="3">
        <v>0.1094</v>
      </c>
      <c r="J102" s="3">
        <v>2.7000000000000001E-3</v>
      </c>
      <c r="K102" s="3">
        <v>1.3431999999999999</v>
      </c>
      <c r="L102" s="3">
        <v>14.7911</v>
      </c>
    </row>
    <row r="103" spans="1:12" x14ac:dyDescent="0.35">
      <c r="A103" s="2" t="s">
        <v>115</v>
      </c>
      <c r="B103" s="2">
        <v>0</v>
      </c>
      <c r="C103" s="2" t="str">
        <f t="shared" si="3"/>
        <v>Non-Bankrupt</v>
      </c>
      <c r="D103" s="2" t="s">
        <v>13</v>
      </c>
      <c r="E103" s="3">
        <v>2.1040999999999999</v>
      </c>
      <c r="F103" s="3">
        <v>1.4293</v>
      </c>
      <c r="G103" s="3">
        <v>0.27860000000000001</v>
      </c>
      <c r="H103" s="3">
        <v>8.6175999999999995</v>
      </c>
      <c r="I103" s="3">
        <v>0.11020000000000001</v>
      </c>
      <c r="J103" s="3">
        <v>5.8999999999999997E-2</v>
      </c>
      <c r="K103" s="3">
        <v>1.4238</v>
      </c>
      <c r="L103" s="3">
        <v>15.107900000000001</v>
      </c>
    </row>
    <row r="104" spans="1:12" x14ac:dyDescent="0.35">
      <c r="A104" s="2" t="s">
        <v>116</v>
      </c>
      <c r="B104" s="2">
        <v>0</v>
      </c>
      <c r="C104" s="2" t="str">
        <f t="shared" si="3"/>
        <v>Non-Bankrupt</v>
      </c>
      <c r="D104" s="2" t="s">
        <v>13</v>
      </c>
      <c r="E104" s="3">
        <v>1.5601</v>
      </c>
      <c r="F104" s="3">
        <v>1.2565</v>
      </c>
      <c r="G104" s="3">
        <v>0.8266</v>
      </c>
      <c r="H104" s="3">
        <v>5.1704999999999997</v>
      </c>
      <c r="I104" s="3">
        <v>9.06E-2</v>
      </c>
      <c r="J104" s="3">
        <v>0.10639999999999999</v>
      </c>
      <c r="K104" s="3">
        <v>1.7797000000000001</v>
      </c>
      <c r="L104" s="3">
        <v>12.3521</v>
      </c>
    </row>
    <row r="105" spans="1:12" x14ac:dyDescent="0.35">
      <c r="A105" s="2" t="s">
        <v>117</v>
      </c>
      <c r="B105" s="2">
        <v>1</v>
      </c>
      <c r="C105" s="2" t="str">
        <f t="shared" si="3"/>
        <v>Bankrupt</v>
      </c>
      <c r="D105" s="2" t="s">
        <v>21</v>
      </c>
      <c r="E105" s="3">
        <v>0.86539999999999995</v>
      </c>
      <c r="F105" s="3">
        <v>0.27550000000000002</v>
      </c>
      <c r="G105" s="3">
        <v>1.5226999999999999</v>
      </c>
      <c r="H105" s="3">
        <v>3.4416000000000002</v>
      </c>
      <c r="I105" s="3">
        <v>-7.4999999999999997E-3</v>
      </c>
      <c r="J105" s="3">
        <v>6.4299999999999996E-2</v>
      </c>
      <c r="K105" s="3">
        <v>0.85409999999999997</v>
      </c>
      <c r="L105" s="3">
        <v>14.8895</v>
      </c>
    </row>
    <row r="106" spans="1:12" x14ac:dyDescent="0.35">
      <c r="A106" s="2" t="s">
        <v>118</v>
      </c>
      <c r="B106" s="2">
        <v>0</v>
      </c>
      <c r="C106" s="2" t="str">
        <f t="shared" si="3"/>
        <v>Non-Bankrupt</v>
      </c>
      <c r="D106" s="2" t="s">
        <v>13</v>
      </c>
      <c r="E106" s="3">
        <v>1.8423</v>
      </c>
      <c r="F106" s="3">
        <v>1.0589</v>
      </c>
      <c r="G106" s="3">
        <v>1.5315000000000001</v>
      </c>
      <c r="H106" s="3">
        <v>7.6238999999999999</v>
      </c>
      <c r="I106" s="3">
        <v>3.2399999999999998E-2</v>
      </c>
      <c r="J106" s="3">
        <v>0.1024</v>
      </c>
      <c r="K106" s="3">
        <v>1.3424</v>
      </c>
      <c r="L106" s="3">
        <v>13.995900000000001</v>
      </c>
    </row>
    <row r="107" spans="1:12" x14ac:dyDescent="0.35">
      <c r="A107" s="2" t="s">
        <v>119</v>
      </c>
      <c r="B107" s="2">
        <v>0</v>
      </c>
      <c r="C107" s="2" t="str">
        <f t="shared" si="3"/>
        <v>Non-Bankrupt</v>
      </c>
      <c r="D107" s="2" t="s">
        <v>13</v>
      </c>
      <c r="E107" s="3">
        <v>1.0569</v>
      </c>
      <c r="F107" s="3">
        <v>1.9633</v>
      </c>
      <c r="G107" s="3">
        <v>1.9935</v>
      </c>
      <c r="H107" s="3">
        <v>5.6336000000000004</v>
      </c>
      <c r="I107" s="3">
        <v>6.4899999999999999E-2</v>
      </c>
      <c r="J107" s="3">
        <v>8.2299999999999998E-2</v>
      </c>
      <c r="K107" s="3">
        <v>0.8276</v>
      </c>
      <c r="L107" s="3">
        <v>14.695600000000001</v>
      </c>
    </row>
    <row r="108" spans="1:12" x14ac:dyDescent="0.35">
      <c r="A108" s="2" t="s">
        <v>120</v>
      </c>
      <c r="B108" s="2">
        <v>1</v>
      </c>
      <c r="C108" s="2" t="str">
        <f t="shared" si="3"/>
        <v>Bankrupt</v>
      </c>
      <c r="D108" s="2" t="s">
        <v>13</v>
      </c>
      <c r="E108" s="3">
        <v>0.2</v>
      </c>
      <c r="F108" s="3">
        <v>0.99780000000000002</v>
      </c>
      <c r="G108" s="3">
        <v>2.2896999999999998</v>
      </c>
      <c r="H108" s="3">
        <v>-9.4899999999999998E-2</v>
      </c>
      <c r="I108" s="3">
        <v>3.7499999999999999E-2</v>
      </c>
      <c r="J108" s="3">
        <v>-6.6500000000000004E-2</v>
      </c>
      <c r="K108" s="3">
        <v>0.95499999999999996</v>
      </c>
      <c r="L108" s="3">
        <v>12.241</v>
      </c>
    </row>
    <row r="109" spans="1:12" x14ac:dyDescent="0.35">
      <c r="A109" s="2" t="s">
        <v>121</v>
      </c>
      <c r="B109" s="2">
        <v>0</v>
      </c>
      <c r="C109" s="2" t="str">
        <f t="shared" si="3"/>
        <v>Non-Bankrupt</v>
      </c>
      <c r="D109" s="2" t="s">
        <v>21</v>
      </c>
      <c r="E109" s="3">
        <v>2.0857000000000001</v>
      </c>
      <c r="F109" s="3">
        <v>1.6304000000000001</v>
      </c>
      <c r="G109" s="3">
        <v>1.1841999999999999</v>
      </c>
      <c r="H109" s="3">
        <v>5.0006000000000004</v>
      </c>
      <c r="I109" s="3">
        <v>5.3800000000000001E-2</v>
      </c>
      <c r="J109" s="3">
        <v>7.6600000000000001E-2</v>
      </c>
      <c r="K109" s="3">
        <v>1.4574</v>
      </c>
      <c r="L109" s="3">
        <v>13.2601</v>
      </c>
    </row>
    <row r="110" spans="1:12" x14ac:dyDescent="0.35">
      <c r="A110" s="2" t="s">
        <v>122</v>
      </c>
      <c r="B110" s="2">
        <v>0</v>
      </c>
      <c r="C110" s="2" t="str">
        <f t="shared" si="3"/>
        <v>Non-Bankrupt</v>
      </c>
      <c r="D110" s="2" t="s">
        <v>21</v>
      </c>
      <c r="E110" s="3">
        <v>1.3714999999999999</v>
      </c>
      <c r="F110" s="3">
        <v>1.2475000000000001</v>
      </c>
      <c r="G110" s="3">
        <v>1.8964000000000001</v>
      </c>
      <c r="H110" s="3">
        <v>2.8812000000000002</v>
      </c>
      <c r="I110" s="3">
        <v>2.8E-3</v>
      </c>
      <c r="J110" s="3">
        <v>1.03E-2</v>
      </c>
      <c r="K110" s="3">
        <v>0.9829</v>
      </c>
      <c r="L110" s="3">
        <v>12.665800000000001</v>
      </c>
    </row>
    <row r="111" spans="1:12" x14ac:dyDescent="0.35">
      <c r="A111" s="2" t="s">
        <v>123</v>
      </c>
      <c r="B111" s="2">
        <v>0</v>
      </c>
      <c r="C111" s="2" t="str">
        <f t="shared" si="3"/>
        <v>Non-Bankrupt</v>
      </c>
      <c r="D111" s="2" t="s">
        <v>13</v>
      </c>
      <c r="E111" s="3">
        <v>1.1263000000000001</v>
      </c>
      <c r="F111" s="3">
        <v>1.2262</v>
      </c>
      <c r="G111" s="3">
        <v>1.2929999999999999</v>
      </c>
      <c r="H111" s="3">
        <v>-0.98250000000000004</v>
      </c>
      <c r="I111" s="3">
        <v>9.69E-2</v>
      </c>
      <c r="J111" s="3">
        <v>4.0399999999999998E-2</v>
      </c>
      <c r="K111" s="3">
        <v>0.88829999999999998</v>
      </c>
      <c r="L111" s="3">
        <v>15.388400000000001</v>
      </c>
    </row>
    <row r="112" spans="1:12" x14ac:dyDescent="0.35">
      <c r="A112" s="2" t="s">
        <v>124</v>
      </c>
      <c r="B112" s="2">
        <v>0</v>
      </c>
      <c r="C112" s="2" t="str">
        <f t="shared" si="3"/>
        <v>Non-Bankrupt</v>
      </c>
      <c r="D112" s="2" t="s">
        <v>21</v>
      </c>
      <c r="E112" s="3">
        <v>1.3702000000000001</v>
      </c>
      <c r="F112" s="3">
        <v>0.5776</v>
      </c>
      <c r="G112" s="3">
        <v>1.417</v>
      </c>
      <c r="H112" s="3">
        <v>-1.4803999999999999</v>
      </c>
      <c r="I112" s="3">
        <v>-1.8499999999999999E-2</v>
      </c>
      <c r="J112" s="3">
        <v>3.5799999999999998E-2</v>
      </c>
      <c r="K112" s="3">
        <v>1.1113</v>
      </c>
      <c r="L112" s="3">
        <v>14.164199999999999</v>
      </c>
    </row>
    <row r="113" spans="1:12" x14ac:dyDescent="0.35">
      <c r="A113" s="2" t="s">
        <v>125</v>
      </c>
      <c r="B113" s="2">
        <v>0</v>
      </c>
      <c r="C113" s="2" t="str">
        <f t="shared" si="3"/>
        <v>Non-Bankrupt</v>
      </c>
      <c r="D113" s="2" t="s">
        <v>13</v>
      </c>
      <c r="E113" s="3">
        <v>2.2199</v>
      </c>
      <c r="F113" s="3">
        <v>0.8458</v>
      </c>
      <c r="G113" s="3">
        <v>1.1314</v>
      </c>
      <c r="H113" s="3">
        <v>11.783300000000001</v>
      </c>
      <c r="I113" s="3">
        <v>0.1283</v>
      </c>
      <c r="J113" s="3">
        <v>8.1699999999999995E-2</v>
      </c>
      <c r="K113" s="3">
        <v>1.6669</v>
      </c>
      <c r="L113" s="3">
        <v>14.789</v>
      </c>
    </row>
    <row r="114" spans="1:12" x14ac:dyDescent="0.35">
      <c r="A114" s="2" t="s">
        <v>126</v>
      </c>
      <c r="B114" s="2">
        <v>0</v>
      </c>
      <c r="C114" s="2" t="str">
        <f t="shared" si="3"/>
        <v>Non-Bankrupt</v>
      </c>
      <c r="D114" s="2" t="s">
        <v>13</v>
      </c>
      <c r="E114" s="3">
        <v>1.86</v>
      </c>
      <c r="F114" s="3">
        <v>2.0186999999999999</v>
      </c>
      <c r="G114" s="3">
        <v>0.45829999999999999</v>
      </c>
      <c r="H114" s="3">
        <v>-1.2515000000000001</v>
      </c>
      <c r="I114" s="3">
        <v>0.14380000000000001</v>
      </c>
      <c r="J114" s="3">
        <v>1.2500000000000001E-2</v>
      </c>
      <c r="K114" s="3">
        <v>1.3277000000000001</v>
      </c>
      <c r="L114" s="3">
        <v>14.0122</v>
      </c>
    </row>
    <row r="115" spans="1:12" x14ac:dyDescent="0.35">
      <c r="A115" s="2" t="s">
        <v>127</v>
      </c>
      <c r="B115" s="2">
        <v>0</v>
      </c>
      <c r="C115" s="2" t="str">
        <f t="shared" si="3"/>
        <v>Non-Bankrupt</v>
      </c>
      <c r="D115" s="2" t="s">
        <v>13</v>
      </c>
      <c r="E115" s="3">
        <v>1.8244</v>
      </c>
      <c r="F115" s="3">
        <v>0.751</v>
      </c>
      <c r="G115" s="3">
        <v>0.82650000000000001</v>
      </c>
      <c r="H115" s="3">
        <v>-1.4802</v>
      </c>
      <c r="I115" s="3">
        <v>2.5700000000000001E-2</v>
      </c>
      <c r="J115" s="3">
        <v>9.64E-2</v>
      </c>
      <c r="K115" s="3">
        <v>1.3984000000000001</v>
      </c>
      <c r="L115" s="3">
        <v>14.546900000000001</v>
      </c>
    </row>
    <row r="116" spans="1:12" x14ac:dyDescent="0.35">
      <c r="A116" s="2" t="s">
        <v>128</v>
      </c>
      <c r="B116" s="2">
        <v>0</v>
      </c>
      <c r="C116" s="2" t="str">
        <f t="shared" si="3"/>
        <v>Non-Bankrupt</v>
      </c>
      <c r="D116" s="2" t="s">
        <v>13</v>
      </c>
      <c r="E116" s="3">
        <v>2.7370000000000001</v>
      </c>
      <c r="F116" s="3">
        <v>3</v>
      </c>
      <c r="G116" s="3">
        <v>1.6758999999999999</v>
      </c>
      <c r="H116" s="3">
        <v>7.3213999999999997</v>
      </c>
      <c r="I116" s="3">
        <v>5.3900000000000003E-2</v>
      </c>
      <c r="J116" s="3">
        <v>0.12659999999999999</v>
      </c>
      <c r="K116" s="3">
        <v>1.0529999999999999</v>
      </c>
      <c r="L116" s="3">
        <v>15.208600000000001</v>
      </c>
    </row>
    <row r="117" spans="1:12" x14ac:dyDescent="0.35">
      <c r="A117" s="2" t="s">
        <v>129</v>
      </c>
      <c r="B117" s="2">
        <v>1</v>
      </c>
      <c r="C117" s="2" t="str">
        <f t="shared" si="3"/>
        <v>Bankrupt</v>
      </c>
      <c r="D117" s="2" t="s">
        <v>13</v>
      </c>
      <c r="E117" s="3">
        <v>1.2417</v>
      </c>
      <c r="F117" s="3">
        <v>0.93059999999999998</v>
      </c>
      <c r="G117" s="3">
        <v>2.0293000000000001</v>
      </c>
      <c r="H117" s="3">
        <v>4.9756999999999998</v>
      </c>
      <c r="I117" s="3">
        <v>-2.3599999999999999E-2</v>
      </c>
      <c r="J117" s="3">
        <v>-3.2000000000000001E-2</v>
      </c>
      <c r="K117" s="3">
        <v>0.7651</v>
      </c>
      <c r="L117" s="3">
        <v>12.7736</v>
      </c>
    </row>
    <row r="118" spans="1:12" x14ac:dyDescent="0.35">
      <c r="A118" s="2" t="s">
        <v>130</v>
      </c>
      <c r="B118" s="2">
        <v>1</v>
      </c>
      <c r="C118" s="2" t="str">
        <f t="shared" si="3"/>
        <v>Bankrupt</v>
      </c>
      <c r="D118" s="2" t="s">
        <v>13</v>
      </c>
      <c r="E118" s="3">
        <v>1.6803999999999999</v>
      </c>
      <c r="F118" s="3">
        <v>0.44350000000000001</v>
      </c>
      <c r="G118" s="3">
        <v>1.7615000000000001</v>
      </c>
      <c r="H118" s="3">
        <v>3.2252999999999998</v>
      </c>
      <c r="I118" s="3">
        <v>-6.3E-2</v>
      </c>
      <c r="J118" s="3">
        <v>-0.1153</v>
      </c>
      <c r="K118" s="3">
        <v>1.5620000000000001</v>
      </c>
      <c r="L118" s="3">
        <v>16.342099999999999</v>
      </c>
    </row>
    <row r="119" spans="1:12" x14ac:dyDescent="0.35">
      <c r="A119" s="2" t="s">
        <v>131</v>
      </c>
      <c r="B119" s="2">
        <v>0</v>
      </c>
      <c r="C119" s="2" t="str">
        <f t="shared" si="3"/>
        <v>Non-Bankrupt</v>
      </c>
      <c r="D119" s="2" t="s">
        <v>21</v>
      </c>
      <c r="E119" s="3">
        <v>0.78639999999999999</v>
      </c>
      <c r="F119" s="3">
        <v>0.55069999999999997</v>
      </c>
      <c r="G119" s="3">
        <v>1.4280999999999999</v>
      </c>
      <c r="H119" s="3">
        <v>7.016</v>
      </c>
      <c r="I119" s="3">
        <v>0.13639999999999999</v>
      </c>
      <c r="J119" s="3">
        <v>7.8600000000000003E-2</v>
      </c>
      <c r="K119" s="3">
        <v>1.4244000000000001</v>
      </c>
      <c r="L119" s="3">
        <v>17.2151</v>
      </c>
    </row>
    <row r="120" spans="1:12" x14ac:dyDescent="0.35">
      <c r="A120" s="2" t="s">
        <v>132</v>
      </c>
      <c r="B120" s="2">
        <v>0</v>
      </c>
      <c r="C120" s="2" t="str">
        <f t="shared" si="3"/>
        <v>Non-Bankrupt</v>
      </c>
      <c r="D120" s="2" t="s">
        <v>21</v>
      </c>
      <c r="E120" s="3">
        <v>1.819</v>
      </c>
      <c r="F120" s="3">
        <v>0.30499999999999999</v>
      </c>
      <c r="G120" s="3">
        <v>1.5035000000000001</v>
      </c>
      <c r="H120" s="3">
        <v>9.7672000000000008</v>
      </c>
      <c r="I120" s="3">
        <v>4.1500000000000002E-2</v>
      </c>
      <c r="J120" s="3">
        <v>0.12330000000000001</v>
      </c>
      <c r="K120" s="3">
        <v>1.7676000000000001</v>
      </c>
      <c r="L120" s="3">
        <v>15.577199999999999</v>
      </c>
    </row>
    <row r="121" spans="1:12" x14ac:dyDescent="0.35">
      <c r="A121" s="2" t="s">
        <v>133</v>
      </c>
      <c r="B121" s="2">
        <v>0</v>
      </c>
      <c r="C121" s="2" t="str">
        <f t="shared" si="3"/>
        <v>Non-Bankrupt</v>
      </c>
      <c r="D121" s="2" t="s">
        <v>13</v>
      </c>
      <c r="E121" s="3">
        <v>1.4292</v>
      </c>
      <c r="F121" s="3">
        <v>1.3181</v>
      </c>
      <c r="G121" s="3">
        <v>1.3070999999999999</v>
      </c>
      <c r="H121" s="3">
        <v>5.7356999999999996</v>
      </c>
      <c r="I121" s="3">
        <v>5.3999999999999999E-2</v>
      </c>
      <c r="J121" s="3">
        <v>8.9700000000000002E-2</v>
      </c>
      <c r="K121" s="3">
        <v>1.7598</v>
      </c>
      <c r="L121" s="3">
        <v>13.9489</v>
      </c>
    </row>
    <row r="122" spans="1:12" x14ac:dyDescent="0.35">
      <c r="A122" s="2" t="s">
        <v>134</v>
      </c>
      <c r="B122" s="2">
        <v>0</v>
      </c>
      <c r="C122" s="2" t="str">
        <f t="shared" si="3"/>
        <v>Non-Bankrupt</v>
      </c>
      <c r="D122" s="2" t="s">
        <v>21</v>
      </c>
      <c r="E122" s="3">
        <v>2.2326999999999999</v>
      </c>
      <c r="F122" s="3">
        <v>1.8405</v>
      </c>
      <c r="G122" s="3">
        <v>2.1131000000000002</v>
      </c>
      <c r="H122" s="3">
        <v>0.80400000000000005</v>
      </c>
      <c r="I122" s="3">
        <v>9.8000000000000004E-2</v>
      </c>
      <c r="J122" s="3">
        <v>0.111</v>
      </c>
      <c r="K122" s="3">
        <v>1.4449000000000001</v>
      </c>
      <c r="L122" s="3">
        <v>17.2179</v>
      </c>
    </row>
    <row r="123" spans="1:12" x14ac:dyDescent="0.35">
      <c r="A123" s="2" t="s">
        <v>135</v>
      </c>
      <c r="B123" s="2">
        <v>1</v>
      </c>
      <c r="C123" s="2" t="str">
        <f t="shared" si="3"/>
        <v>Bankrupt</v>
      </c>
      <c r="D123" s="2" t="s">
        <v>13</v>
      </c>
      <c r="E123" s="3">
        <v>1.5466</v>
      </c>
      <c r="F123" s="3">
        <v>1.19</v>
      </c>
      <c r="G123" s="3">
        <v>1.4599</v>
      </c>
      <c r="H123" s="3">
        <v>3.6141999999999999</v>
      </c>
      <c r="I123" s="3">
        <v>3.2399999999999998E-2</v>
      </c>
      <c r="J123" s="3">
        <v>2.7199999999999998E-2</v>
      </c>
      <c r="K123" s="3">
        <v>1.5707</v>
      </c>
      <c r="L123" s="3">
        <v>14.033799999999999</v>
      </c>
    </row>
    <row r="124" spans="1:12" x14ac:dyDescent="0.35">
      <c r="A124" s="2" t="s">
        <v>136</v>
      </c>
      <c r="B124" s="2">
        <v>0</v>
      </c>
      <c r="C124" s="2" t="str">
        <f t="shared" si="3"/>
        <v>Non-Bankrupt</v>
      </c>
      <c r="D124" s="2" t="s">
        <v>13</v>
      </c>
      <c r="E124" s="3">
        <v>1.7649999999999999</v>
      </c>
      <c r="F124" s="3">
        <v>0.9577</v>
      </c>
      <c r="G124" s="3">
        <v>1.8281000000000001</v>
      </c>
      <c r="H124" s="3">
        <v>4.6509999999999998</v>
      </c>
      <c r="I124" s="3">
        <v>-4.5999999999999999E-2</v>
      </c>
      <c r="J124" s="3">
        <v>1.4200000000000001E-2</v>
      </c>
      <c r="K124" s="3">
        <v>0.75590000000000002</v>
      </c>
      <c r="L124" s="3">
        <v>15.8932</v>
      </c>
    </row>
    <row r="125" spans="1:12" x14ac:dyDescent="0.35">
      <c r="A125" s="2" t="s">
        <v>137</v>
      </c>
      <c r="B125" s="2">
        <v>0</v>
      </c>
      <c r="C125" s="2" t="str">
        <f t="shared" si="3"/>
        <v>Non-Bankrupt</v>
      </c>
      <c r="D125" s="2" t="s">
        <v>21</v>
      </c>
      <c r="E125" s="3">
        <v>2.2006999999999999</v>
      </c>
      <c r="F125" s="3">
        <v>1.1645000000000001</v>
      </c>
      <c r="G125" s="3">
        <v>1.0569999999999999</v>
      </c>
      <c r="H125" s="3">
        <v>7.5088999999999997</v>
      </c>
      <c r="I125" s="3">
        <v>9.1899999999999996E-2</v>
      </c>
      <c r="J125" s="3">
        <v>0.12509999999999999</v>
      </c>
      <c r="K125" s="3">
        <v>0.7883</v>
      </c>
      <c r="L125" s="3">
        <v>12.575100000000001</v>
      </c>
    </row>
    <row r="126" spans="1:12" x14ac:dyDescent="0.35">
      <c r="A126" s="2" t="s">
        <v>138</v>
      </c>
      <c r="B126" s="2">
        <v>0</v>
      </c>
      <c r="C126" s="2" t="str">
        <f t="shared" si="3"/>
        <v>Non-Bankrupt</v>
      </c>
      <c r="D126" s="2" t="s">
        <v>21</v>
      </c>
      <c r="E126" s="3">
        <v>1.4330000000000001</v>
      </c>
      <c r="F126" s="3">
        <v>1.2076</v>
      </c>
      <c r="G126" s="3">
        <v>1.8628</v>
      </c>
      <c r="H126" s="3">
        <v>8.7501999999999995</v>
      </c>
      <c r="I126" s="3">
        <v>9.7199999999999995E-2</v>
      </c>
      <c r="J126" s="3">
        <v>0.12470000000000001</v>
      </c>
      <c r="K126" s="3">
        <v>1.9748000000000001</v>
      </c>
      <c r="L126" s="3">
        <v>16.033999999999999</v>
      </c>
    </row>
    <row r="127" spans="1:12" x14ac:dyDescent="0.35">
      <c r="A127" s="2" t="s">
        <v>139</v>
      </c>
      <c r="B127" s="2">
        <v>1</v>
      </c>
      <c r="C127" s="2" t="str">
        <f t="shared" si="3"/>
        <v>Bankrupt</v>
      </c>
      <c r="D127" s="2" t="s">
        <v>13</v>
      </c>
      <c r="E127" s="3">
        <v>1.8183</v>
      </c>
      <c r="F127" s="3">
        <v>1.153</v>
      </c>
      <c r="G127" s="3">
        <v>2.2421000000000002</v>
      </c>
      <c r="H127" s="3">
        <v>3.8567</v>
      </c>
      <c r="I127" s="3">
        <v>6.2300000000000001E-2</v>
      </c>
      <c r="J127" s="3">
        <v>-2.9600000000000001E-2</v>
      </c>
      <c r="K127" s="3">
        <v>0.88880000000000003</v>
      </c>
      <c r="L127" s="3">
        <v>15.5585</v>
      </c>
    </row>
    <row r="128" spans="1:12" x14ac:dyDescent="0.35">
      <c r="A128" s="2" t="s">
        <v>140</v>
      </c>
      <c r="B128" s="2">
        <v>1</v>
      </c>
      <c r="C128" s="2" t="str">
        <f t="shared" si="3"/>
        <v>Bankrupt</v>
      </c>
      <c r="D128" s="2" t="s">
        <v>13</v>
      </c>
      <c r="E128" s="3">
        <v>0.85099999999999998</v>
      </c>
      <c r="F128" s="3">
        <v>0.57389999999999997</v>
      </c>
      <c r="G128" s="3">
        <v>1.169</v>
      </c>
      <c r="H128" s="3">
        <v>-0.24329999999999999</v>
      </c>
      <c r="I128" s="3">
        <v>-1.6799999999999999E-2</v>
      </c>
      <c r="J128" s="3">
        <v>1.01E-2</v>
      </c>
      <c r="K128" s="3">
        <v>0.54649999999999999</v>
      </c>
      <c r="L128" s="3">
        <v>14.438499999999999</v>
      </c>
    </row>
    <row r="129" spans="1:12" x14ac:dyDescent="0.35">
      <c r="A129" s="2" t="s">
        <v>141</v>
      </c>
      <c r="B129" s="2">
        <v>0</v>
      </c>
      <c r="C129" s="2" t="str">
        <f t="shared" si="3"/>
        <v>Non-Bankrupt</v>
      </c>
      <c r="D129" s="2" t="s">
        <v>13</v>
      </c>
      <c r="E129" s="3">
        <v>1.1443000000000001</v>
      </c>
      <c r="F129" s="3">
        <v>1.2662</v>
      </c>
      <c r="G129" s="3">
        <v>0.18479999999999999</v>
      </c>
      <c r="H129" s="3">
        <v>10.607699999999999</v>
      </c>
      <c r="I129" s="3">
        <v>0.10299999999999999</v>
      </c>
      <c r="J129" s="3">
        <v>5.5399999999999998E-2</v>
      </c>
      <c r="K129" s="3">
        <v>1.0951</v>
      </c>
      <c r="L129" s="3">
        <v>15.51</v>
      </c>
    </row>
    <row r="130" spans="1:12" x14ac:dyDescent="0.35">
      <c r="A130" s="2" t="s">
        <v>142</v>
      </c>
      <c r="B130" s="2">
        <v>0</v>
      </c>
      <c r="C130" s="2" t="str">
        <f t="shared" ref="C130:C161" si="4">IF(B130=1,"Bankrupt","Non-Bankrupt")</f>
        <v>Non-Bankrupt</v>
      </c>
      <c r="D130" s="2" t="s">
        <v>13</v>
      </c>
      <c r="E130" s="3">
        <v>1.351</v>
      </c>
      <c r="F130" s="3">
        <v>1.3517999999999999</v>
      </c>
      <c r="G130" s="3">
        <v>1.1085</v>
      </c>
      <c r="H130" s="3">
        <v>3.9194</v>
      </c>
      <c r="I130" s="3">
        <v>4.6199999999999998E-2</v>
      </c>
      <c r="J130" s="3">
        <v>0.1295</v>
      </c>
      <c r="K130" s="3">
        <v>0.72819999999999996</v>
      </c>
      <c r="L130" s="3">
        <v>16.2239</v>
      </c>
    </row>
    <row r="131" spans="1:12" x14ac:dyDescent="0.35">
      <c r="A131" s="2" t="s">
        <v>143</v>
      </c>
      <c r="B131" s="2">
        <v>0</v>
      </c>
      <c r="C131" s="2" t="str">
        <f t="shared" si="4"/>
        <v>Non-Bankrupt</v>
      </c>
      <c r="D131" s="2" t="s">
        <v>13</v>
      </c>
      <c r="E131" s="3">
        <v>2.4062999999999999</v>
      </c>
      <c r="F131" s="3">
        <v>1.2992999999999999</v>
      </c>
      <c r="G131" s="3">
        <v>1.1856</v>
      </c>
      <c r="H131" s="3">
        <v>-0.90129999999999999</v>
      </c>
      <c r="I131" s="3">
        <v>5.5399999999999998E-2</v>
      </c>
      <c r="J131" s="3">
        <v>1.7899999999999999E-2</v>
      </c>
      <c r="K131" s="3">
        <v>1.5795999999999999</v>
      </c>
      <c r="L131" s="3">
        <v>15.0715</v>
      </c>
    </row>
    <row r="132" spans="1:12" x14ac:dyDescent="0.35">
      <c r="A132" s="2" t="s">
        <v>144</v>
      </c>
      <c r="B132" s="2">
        <v>1</v>
      </c>
      <c r="C132" s="2" t="str">
        <f t="shared" si="4"/>
        <v>Bankrupt</v>
      </c>
      <c r="D132" s="2" t="s">
        <v>13</v>
      </c>
      <c r="E132" s="3">
        <v>2.3871000000000002</v>
      </c>
      <c r="F132" s="3">
        <v>0.92300000000000004</v>
      </c>
      <c r="G132" s="3">
        <v>1.0976999999999999</v>
      </c>
      <c r="H132" s="3">
        <v>6.9683000000000002</v>
      </c>
      <c r="I132" s="3">
        <v>2.5000000000000001E-2</v>
      </c>
      <c r="J132" s="3">
        <v>-6.8000000000000005E-2</v>
      </c>
      <c r="K132" s="3">
        <v>1.0847</v>
      </c>
      <c r="L132" s="3">
        <v>13.7514</v>
      </c>
    </row>
    <row r="133" spans="1:12" x14ac:dyDescent="0.35">
      <c r="A133" s="2" t="s">
        <v>145</v>
      </c>
      <c r="B133" s="2">
        <v>0</v>
      </c>
      <c r="C133" s="2" t="str">
        <f t="shared" si="4"/>
        <v>Non-Bankrupt</v>
      </c>
      <c r="D133" s="2" t="s">
        <v>21</v>
      </c>
      <c r="E133" s="3">
        <v>1.9832000000000001</v>
      </c>
      <c r="F133" s="3">
        <v>1.2454000000000001</v>
      </c>
      <c r="G133" s="3">
        <v>1.3241000000000001</v>
      </c>
      <c r="H133" s="3">
        <v>6.9782000000000002</v>
      </c>
      <c r="I133" s="3">
        <v>9.5899999999999999E-2</v>
      </c>
      <c r="J133" s="3">
        <v>-6.3799999999999996E-2</v>
      </c>
      <c r="K133" s="3">
        <v>1.6132</v>
      </c>
      <c r="L133" s="3">
        <v>14.385300000000001</v>
      </c>
    </row>
    <row r="134" spans="1:12" x14ac:dyDescent="0.35">
      <c r="A134" s="2" t="s">
        <v>146</v>
      </c>
      <c r="B134" s="2">
        <v>0</v>
      </c>
      <c r="C134" s="2" t="str">
        <f t="shared" si="4"/>
        <v>Non-Bankrupt</v>
      </c>
      <c r="D134" s="2" t="s">
        <v>21</v>
      </c>
      <c r="E134" s="3">
        <v>1.2709999999999999</v>
      </c>
      <c r="F134" s="3">
        <v>1.1025</v>
      </c>
      <c r="G134" s="3">
        <v>1.0588</v>
      </c>
      <c r="H134" s="3">
        <v>-1.4802999999999999</v>
      </c>
      <c r="I134" s="3">
        <v>6.5000000000000002E-2</v>
      </c>
      <c r="J134" s="3">
        <v>8.0500000000000002E-2</v>
      </c>
      <c r="K134" s="3">
        <v>1.6892</v>
      </c>
      <c r="L134" s="3">
        <v>16.5273</v>
      </c>
    </row>
    <row r="135" spans="1:12" x14ac:dyDescent="0.35">
      <c r="A135" s="2" t="s">
        <v>147</v>
      </c>
      <c r="B135" s="2">
        <v>0</v>
      </c>
      <c r="C135" s="2" t="str">
        <f t="shared" si="4"/>
        <v>Non-Bankrupt</v>
      </c>
      <c r="D135" s="2" t="s">
        <v>13</v>
      </c>
      <c r="E135" s="3">
        <v>2.0640000000000001</v>
      </c>
      <c r="F135" s="3">
        <v>0.36859999999999998</v>
      </c>
      <c r="G135" s="3">
        <v>1.0455000000000001</v>
      </c>
      <c r="H135" s="3">
        <v>7.5974000000000004</v>
      </c>
      <c r="I135" s="3">
        <v>6.4000000000000001E-2</v>
      </c>
      <c r="J135" s="3">
        <v>0.1024</v>
      </c>
      <c r="K135" s="3">
        <v>0.3967</v>
      </c>
      <c r="L135" s="3">
        <v>15.2582</v>
      </c>
    </row>
    <row r="136" spans="1:12" x14ac:dyDescent="0.35">
      <c r="A136" s="2" t="s">
        <v>148</v>
      </c>
      <c r="B136" s="2">
        <v>0</v>
      </c>
      <c r="C136" s="2" t="str">
        <f t="shared" si="4"/>
        <v>Non-Bankrupt</v>
      </c>
      <c r="D136" s="2" t="s">
        <v>13</v>
      </c>
      <c r="E136" s="3">
        <v>2.1707999999999998</v>
      </c>
      <c r="F136" s="3">
        <v>1.1281000000000001</v>
      </c>
      <c r="G136" s="3">
        <v>1.2753000000000001</v>
      </c>
      <c r="H136" s="3">
        <v>3.4110999999999998</v>
      </c>
      <c r="I136" s="3">
        <v>4.7399999999999998E-2</v>
      </c>
      <c r="J136" s="3">
        <v>0.1217</v>
      </c>
      <c r="K136" s="3">
        <v>1.5173000000000001</v>
      </c>
      <c r="L136" s="3">
        <v>14.633599999999999</v>
      </c>
    </row>
    <row r="137" spans="1:12" x14ac:dyDescent="0.35">
      <c r="A137" s="2" t="s">
        <v>149</v>
      </c>
      <c r="B137" s="2">
        <v>0</v>
      </c>
      <c r="C137" s="2" t="str">
        <f t="shared" si="4"/>
        <v>Non-Bankrupt</v>
      </c>
      <c r="D137" s="2" t="s">
        <v>13</v>
      </c>
      <c r="E137" s="3">
        <v>1.0790999999999999</v>
      </c>
      <c r="F137" s="3">
        <v>1.8141</v>
      </c>
      <c r="G137" s="3">
        <v>0.8306</v>
      </c>
      <c r="H137" s="3">
        <v>6.1605999999999996</v>
      </c>
      <c r="I137" s="3">
        <v>3.5999999999999999E-3</v>
      </c>
      <c r="J137" s="3">
        <v>9.2299999999999993E-2</v>
      </c>
      <c r="K137" s="3">
        <v>0.49869999999999998</v>
      </c>
      <c r="L137" s="3">
        <v>13.9709</v>
      </c>
    </row>
    <row r="138" spans="1:12" x14ac:dyDescent="0.35">
      <c r="A138" s="2" t="s">
        <v>150</v>
      </c>
      <c r="B138" s="2">
        <v>1</v>
      </c>
      <c r="C138" s="2" t="str">
        <f t="shared" si="4"/>
        <v>Bankrupt</v>
      </c>
      <c r="D138" s="2" t="s">
        <v>13</v>
      </c>
      <c r="E138" s="3">
        <v>1.3404</v>
      </c>
      <c r="F138" s="3">
        <v>0.22309999999999999</v>
      </c>
      <c r="G138" s="3">
        <v>2.3788999999999998</v>
      </c>
      <c r="H138" s="3">
        <v>-1.5</v>
      </c>
      <c r="I138" s="3">
        <v>-2.41E-2</v>
      </c>
      <c r="J138" s="3">
        <v>-3.6900000000000002E-2</v>
      </c>
      <c r="K138" s="3">
        <v>0.77080000000000004</v>
      </c>
      <c r="L138" s="3">
        <v>14.2379</v>
      </c>
    </row>
    <row r="139" spans="1:12" x14ac:dyDescent="0.35">
      <c r="A139" s="2" t="s">
        <v>151</v>
      </c>
      <c r="B139" s="2">
        <v>1</v>
      </c>
      <c r="C139" s="2" t="str">
        <f t="shared" si="4"/>
        <v>Bankrupt</v>
      </c>
      <c r="D139" s="2" t="s">
        <v>21</v>
      </c>
      <c r="E139" s="3">
        <v>1.6792</v>
      </c>
      <c r="F139" s="3">
        <v>0.1</v>
      </c>
      <c r="G139" s="3">
        <v>0.53439999999999999</v>
      </c>
      <c r="H139" s="3">
        <v>1.9249000000000001</v>
      </c>
      <c r="I139" s="3">
        <v>-7.0800000000000002E-2</v>
      </c>
      <c r="J139" s="3">
        <v>-4.3400000000000001E-2</v>
      </c>
      <c r="K139" s="3">
        <v>0.91859999999999997</v>
      </c>
      <c r="L139" s="3">
        <v>13.049099999999999</v>
      </c>
    </row>
    <row r="140" spans="1:12" x14ac:dyDescent="0.35">
      <c r="A140" s="2" t="s">
        <v>152</v>
      </c>
      <c r="B140" s="2">
        <v>0</v>
      </c>
      <c r="C140" s="2" t="str">
        <f t="shared" si="4"/>
        <v>Non-Bankrupt</v>
      </c>
      <c r="D140" s="2" t="s">
        <v>13</v>
      </c>
      <c r="E140" s="3">
        <v>1.6609</v>
      </c>
      <c r="F140" s="3">
        <v>0.11840000000000001</v>
      </c>
      <c r="G140" s="3">
        <v>1.9095</v>
      </c>
      <c r="H140" s="3">
        <v>6.2194000000000003</v>
      </c>
      <c r="I140" s="3">
        <v>2.5700000000000001E-2</v>
      </c>
      <c r="J140" s="3">
        <v>0.1123</v>
      </c>
      <c r="K140" s="3">
        <v>0.43590000000000001</v>
      </c>
      <c r="L140" s="3">
        <v>14.662000000000001</v>
      </c>
    </row>
    <row r="141" spans="1:12" x14ac:dyDescent="0.35">
      <c r="A141" s="2" t="s">
        <v>153</v>
      </c>
      <c r="B141" s="2">
        <v>1</v>
      </c>
      <c r="C141" s="2" t="str">
        <f t="shared" si="4"/>
        <v>Bankrupt</v>
      </c>
      <c r="D141" s="2" t="s">
        <v>21</v>
      </c>
      <c r="E141" s="3">
        <v>1.6306</v>
      </c>
      <c r="F141" s="3">
        <v>0.99990000000000001</v>
      </c>
      <c r="G141" s="3">
        <v>1.8823000000000001</v>
      </c>
      <c r="H141" s="3">
        <v>1.8197000000000001</v>
      </c>
      <c r="I141" s="3">
        <v>5.7000000000000002E-3</v>
      </c>
      <c r="J141" s="3">
        <v>-8.0000000000000004E-4</v>
      </c>
      <c r="K141" s="3">
        <v>1.8823000000000001</v>
      </c>
      <c r="L141" s="3">
        <v>13.4993</v>
      </c>
    </row>
    <row r="142" spans="1:12" x14ac:dyDescent="0.35">
      <c r="A142" s="2" t="s">
        <v>154</v>
      </c>
      <c r="B142" s="2">
        <v>0</v>
      </c>
      <c r="C142" s="2" t="str">
        <f t="shared" si="4"/>
        <v>Non-Bankrupt</v>
      </c>
      <c r="D142" s="2" t="s">
        <v>13</v>
      </c>
      <c r="E142" s="3">
        <v>1.4055</v>
      </c>
      <c r="F142" s="3">
        <v>1.5781000000000001</v>
      </c>
      <c r="G142" s="3">
        <v>1.3773</v>
      </c>
      <c r="H142" s="3">
        <v>7.7060000000000004</v>
      </c>
      <c r="I142" s="3">
        <v>0.1404</v>
      </c>
      <c r="J142" s="3">
        <v>8.2000000000000007E-3</v>
      </c>
      <c r="K142" s="3">
        <v>0.32250000000000001</v>
      </c>
      <c r="L142" s="3">
        <v>14.841200000000001</v>
      </c>
    </row>
    <row r="143" spans="1:12" x14ac:dyDescent="0.35">
      <c r="A143" s="2" t="s">
        <v>155</v>
      </c>
      <c r="B143" s="2">
        <v>1</v>
      </c>
      <c r="C143" s="2" t="str">
        <f t="shared" si="4"/>
        <v>Bankrupt</v>
      </c>
      <c r="D143" s="2" t="s">
        <v>21</v>
      </c>
      <c r="E143" s="3">
        <v>1.1521999999999999</v>
      </c>
      <c r="F143" s="3">
        <v>0.78759999999999997</v>
      </c>
      <c r="G143" s="3">
        <v>1.3772</v>
      </c>
      <c r="H143" s="3">
        <v>3.1625999999999999</v>
      </c>
      <c r="I143" s="3">
        <v>2.1000000000000001E-2</v>
      </c>
      <c r="J143" s="3">
        <v>1.8E-3</v>
      </c>
      <c r="K143" s="3">
        <v>1.6851</v>
      </c>
      <c r="L143" s="3">
        <v>15.2813</v>
      </c>
    </row>
    <row r="144" spans="1:12" x14ac:dyDescent="0.35">
      <c r="A144" s="2" t="s">
        <v>156</v>
      </c>
      <c r="B144" s="2">
        <v>0</v>
      </c>
      <c r="C144" s="2" t="str">
        <f t="shared" si="4"/>
        <v>Non-Bankrupt</v>
      </c>
      <c r="D144" s="2" t="s">
        <v>13</v>
      </c>
      <c r="E144" s="3">
        <v>1.0868</v>
      </c>
      <c r="F144" s="3">
        <v>1.4683999999999999</v>
      </c>
      <c r="G144" s="3">
        <v>1.5265</v>
      </c>
      <c r="H144" s="3">
        <v>-1.1292</v>
      </c>
      <c r="I144" s="3">
        <v>-4.4200000000000003E-2</v>
      </c>
      <c r="J144" s="3">
        <v>1.14E-2</v>
      </c>
      <c r="K144" s="3">
        <v>1.4899</v>
      </c>
      <c r="L144" s="3">
        <v>16.2316</v>
      </c>
    </row>
    <row r="145" spans="1:12" x14ac:dyDescent="0.35">
      <c r="A145" s="2" t="s">
        <v>157</v>
      </c>
      <c r="B145" s="2">
        <v>1</v>
      </c>
      <c r="C145" s="2" t="str">
        <f t="shared" si="4"/>
        <v>Bankrupt</v>
      </c>
      <c r="D145" s="2" t="s">
        <v>21</v>
      </c>
      <c r="E145" s="3">
        <v>0.93410000000000004</v>
      </c>
      <c r="F145" s="3">
        <v>0.92090000000000005</v>
      </c>
      <c r="G145" s="3">
        <v>0.1</v>
      </c>
      <c r="H145" s="3">
        <v>8.0380000000000003</v>
      </c>
      <c r="I145" s="3">
        <v>7.0800000000000002E-2</v>
      </c>
      <c r="J145" s="3">
        <v>4.3900000000000002E-2</v>
      </c>
      <c r="K145" s="3">
        <v>0.72040000000000004</v>
      </c>
      <c r="L145" s="3">
        <v>16.046399999999998</v>
      </c>
    </row>
    <row r="146" spans="1:12" x14ac:dyDescent="0.35">
      <c r="A146" s="2" t="s">
        <v>158</v>
      </c>
      <c r="B146" s="2">
        <v>0</v>
      </c>
      <c r="C146" s="2" t="str">
        <f t="shared" si="4"/>
        <v>Non-Bankrupt</v>
      </c>
      <c r="D146" s="2" t="s">
        <v>13</v>
      </c>
      <c r="E146" s="3">
        <v>1.1991000000000001</v>
      </c>
      <c r="F146" s="3">
        <v>0.77029999999999998</v>
      </c>
      <c r="G146" s="3">
        <v>0.43919999999999998</v>
      </c>
      <c r="H146" s="3">
        <v>3.0552999999999999</v>
      </c>
      <c r="I146" s="3">
        <v>-3.0200000000000001E-2</v>
      </c>
      <c r="J146" s="3">
        <v>4.41E-2</v>
      </c>
      <c r="K146" s="3">
        <v>1.0564</v>
      </c>
      <c r="L146" s="3">
        <v>13.610200000000001</v>
      </c>
    </row>
    <row r="147" spans="1:12" x14ac:dyDescent="0.35">
      <c r="A147" s="2" t="s">
        <v>159</v>
      </c>
      <c r="B147" s="2">
        <v>0</v>
      </c>
      <c r="C147" s="2" t="str">
        <f t="shared" si="4"/>
        <v>Non-Bankrupt</v>
      </c>
      <c r="D147" s="2" t="s">
        <v>21</v>
      </c>
      <c r="E147" s="3">
        <v>1.0430999999999999</v>
      </c>
      <c r="F147" s="3">
        <v>1.3756999999999999</v>
      </c>
      <c r="G147" s="3">
        <v>1.9114</v>
      </c>
      <c r="H147" s="3">
        <v>-1.444</v>
      </c>
      <c r="I147" s="3">
        <v>7.9899999999999999E-2</v>
      </c>
      <c r="J147" s="3">
        <v>0.12959999999999999</v>
      </c>
      <c r="K147" s="3">
        <v>1.3507</v>
      </c>
      <c r="L147" s="3">
        <v>17.378</v>
      </c>
    </row>
    <row r="148" spans="1:12" x14ac:dyDescent="0.35">
      <c r="A148" s="2" t="s">
        <v>160</v>
      </c>
      <c r="B148" s="2">
        <v>0</v>
      </c>
      <c r="C148" s="2" t="str">
        <f t="shared" si="4"/>
        <v>Non-Bankrupt</v>
      </c>
      <c r="D148" s="2" t="s">
        <v>21</v>
      </c>
      <c r="E148" s="3">
        <v>0.70650000000000002</v>
      </c>
      <c r="F148" s="3">
        <v>2.4834000000000001</v>
      </c>
      <c r="G148" s="3">
        <v>1.1819</v>
      </c>
      <c r="H148" s="3">
        <v>8.1995000000000005</v>
      </c>
      <c r="I148" s="3">
        <v>2.58E-2</v>
      </c>
      <c r="J148" s="3">
        <v>9.6299999999999997E-2</v>
      </c>
      <c r="K148" s="3">
        <v>1.601</v>
      </c>
      <c r="L148" s="3">
        <v>14.2447</v>
      </c>
    </row>
    <row r="149" spans="1:12" x14ac:dyDescent="0.35">
      <c r="A149" s="2" t="s">
        <v>161</v>
      </c>
      <c r="B149" s="2">
        <v>1</v>
      </c>
      <c r="C149" s="2" t="str">
        <f t="shared" si="4"/>
        <v>Bankrupt</v>
      </c>
      <c r="D149" s="2" t="s">
        <v>21</v>
      </c>
      <c r="E149" s="3">
        <v>1.544</v>
      </c>
      <c r="F149" s="3">
        <v>1.4972000000000001</v>
      </c>
      <c r="G149" s="3">
        <v>2.9847999999999999</v>
      </c>
      <c r="H149" s="3">
        <v>2.8094999999999999</v>
      </c>
      <c r="I149" s="3">
        <v>-9.3100000000000002E-2</v>
      </c>
      <c r="J149" s="3">
        <v>-1.5699999999999999E-2</v>
      </c>
      <c r="K149" s="3">
        <v>0.83879999999999999</v>
      </c>
      <c r="L149" s="3">
        <v>14.382400000000001</v>
      </c>
    </row>
    <row r="150" spans="1:12" x14ac:dyDescent="0.35">
      <c r="A150" s="2" t="s">
        <v>162</v>
      </c>
      <c r="B150" s="2">
        <v>1</v>
      </c>
      <c r="C150" s="2" t="str">
        <f t="shared" si="4"/>
        <v>Bankrupt</v>
      </c>
      <c r="D150" s="2" t="s">
        <v>13</v>
      </c>
      <c r="E150" s="3">
        <v>1.1112</v>
      </c>
      <c r="F150" s="3">
        <v>0.4</v>
      </c>
      <c r="G150" s="3">
        <v>1.6377999999999999</v>
      </c>
      <c r="H150" s="3">
        <v>6.8895</v>
      </c>
      <c r="I150" s="3">
        <v>3.9899999999999998E-2</v>
      </c>
      <c r="J150" s="3">
        <v>7.0000000000000001E-3</v>
      </c>
      <c r="K150" s="3">
        <v>0.65800000000000003</v>
      </c>
      <c r="L150" s="3">
        <v>13.666499999999999</v>
      </c>
    </row>
    <row r="151" spans="1:12" x14ac:dyDescent="0.35">
      <c r="A151" s="2" t="s">
        <v>163</v>
      </c>
      <c r="B151" s="2">
        <v>0</v>
      </c>
      <c r="C151" s="2" t="str">
        <f t="shared" si="4"/>
        <v>Non-Bankrupt</v>
      </c>
      <c r="D151" s="2" t="s">
        <v>21</v>
      </c>
      <c r="E151" s="3">
        <v>1.8264</v>
      </c>
      <c r="F151" s="3">
        <v>2.0720000000000001</v>
      </c>
      <c r="G151" s="3">
        <v>0.63280000000000003</v>
      </c>
      <c r="H151" s="3">
        <v>9.9411000000000005</v>
      </c>
      <c r="I151" s="3">
        <v>2.5700000000000001E-2</v>
      </c>
      <c r="J151" s="3">
        <v>8.5599999999999996E-2</v>
      </c>
      <c r="K151" s="3">
        <v>0.74819999999999998</v>
      </c>
      <c r="L151" s="3">
        <v>16.746099999999998</v>
      </c>
    </row>
    <row r="152" spans="1:12" x14ac:dyDescent="0.35">
      <c r="A152" s="2" t="s">
        <v>164</v>
      </c>
      <c r="B152" s="2">
        <v>0</v>
      </c>
      <c r="C152" s="2" t="str">
        <f t="shared" si="4"/>
        <v>Non-Bankrupt</v>
      </c>
      <c r="D152" s="2" t="s">
        <v>13</v>
      </c>
      <c r="E152" s="3">
        <v>1.3946000000000001</v>
      </c>
      <c r="F152" s="3">
        <v>1.9616</v>
      </c>
      <c r="G152" s="3">
        <v>1.7782</v>
      </c>
      <c r="H152" s="3">
        <v>6.1317000000000004</v>
      </c>
      <c r="I152" s="3">
        <v>0.17280000000000001</v>
      </c>
      <c r="J152" s="3">
        <v>-4.3299999999999998E-2</v>
      </c>
      <c r="K152" s="3">
        <v>1.5579000000000001</v>
      </c>
      <c r="L152" s="3">
        <v>14.129099999999999</v>
      </c>
    </row>
    <row r="153" spans="1:12" x14ac:dyDescent="0.35">
      <c r="A153" s="2" t="s">
        <v>165</v>
      </c>
      <c r="B153" s="2">
        <v>0</v>
      </c>
      <c r="C153" s="2" t="str">
        <f t="shared" si="4"/>
        <v>Non-Bankrupt</v>
      </c>
      <c r="D153" s="2" t="s">
        <v>13</v>
      </c>
      <c r="E153" s="3">
        <v>0.83189999999999997</v>
      </c>
      <c r="F153" s="3">
        <v>1.4883</v>
      </c>
      <c r="G153" s="3">
        <v>0.48949999999999999</v>
      </c>
      <c r="H153" s="3">
        <v>7.4440999999999997</v>
      </c>
      <c r="I153" s="3">
        <v>2.93E-2</v>
      </c>
      <c r="J153" s="3">
        <v>2.3199999999999998E-2</v>
      </c>
      <c r="K153" s="3">
        <v>1.482</v>
      </c>
      <c r="L153" s="3">
        <v>15.9786</v>
      </c>
    </row>
    <row r="154" spans="1:12" x14ac:dyDescent="0.35">
      <c r="A154" s="2" t="s">
        <v>166</v>
      </c>
      <c r="B154" s="2">
        <v>0</v>
      </c>
      <c r="C154" s="2" t="str">
        <f t="shared" si="4"/>
        <v>Non-Bankrupt</v>
      </c>
      <c r="D154" s="2" t="s">
        <v>13</v>
      </c>
      <c r="E154" s="3">
        <v>1.5731999999999999</v>
      </c>
      <c r="F154" s="3">
        <v>1.6615</v>
      </c>
      <c r="G154" s="3">
        <v>1.7907</v>
      </c>
      <c r="H154" s="3">
        <v>2.5613000000000001</v>
      </c>
      <c r="I154" s="3">
        <v>8.3699999999999997E-2</v>
      </c>
      <c r="J154" s="3">
        <v>1.6500000000000001E-2</v>
      </c>
      <c r="K154" s="3">
        <v>0.88549999999999995</v>
      </c>
      <c r="L154" s="3">
        <v>15.0855</v>
      </c>
    </row>
    <row r="155" spans="1:12" x14ac:dyDescent="0.35">
      <c r="A155" s="2" t="s">
        <v>167</v>
      </c>
      <c r="B155" s="2">
        <v>0</v>
      </c>
      <c r="C155" s="2" t="str">
        <f t="shared" si="4"/>
        <v>Non-Bankrupt</v>
      </c>
      <c r="D155" s="2" t="s">
        <v>21</v>
      </c>
      <c r="E155" s="3">
        <v>1.4679</v>
      </c>
      <c r="F155" s="3">
        <v>1.5801000000000001</v>
      </c>
      <c r="G155" s="3">
        <v>1.6603000000000001</v>
      </c>
      <c r="H155" s="3">
        <v>8.2109000000000005</v>
      </c>
      <c r="I155" s="3">
        <v>5.8999999999999997E-2</v>
      </c>
      <c r="J155" s="3">
        <v>8.2500000000000004E-2</v>
      </c>
      <c r="K155" s="3">
        <v>1.1140000000000001</v>
      </c>
      <c r="L155" s="3">
        <v>14.8431</v>
      </c>
    </row>
    <row r="156" spans="1:12" x14ac:dyDescent="0.35">
      <c r="A156" s="2" t="s">
        <v>168</v>
      </c>
      <c r="B156" s="2">
        <v>1</v>
      </c>
      <c r="C156" s="2" t="str">
        <f t="shared" si="4"/>
        <v>Bankrupt</v>
      </c>
      <c r="D156" s="2" t="s">
        <v>13</v>
      </c>
      <c r="E156" s="3">
        <v>1.3404</v>
      </c>
      <c r="F156" s="3">
        <v>0.75570000000000004</v>
      </c>
      <c r="G156" s="3">
        <v>1.0632999999999999</v>
      </c>
      <c r="H156" s="3">
        <v>4.1664000000000003</v>
      </c>
      <c r="I156" s="3">
        <v>5.3400000000000003E-2</v>
      </c>
      <c r="J156" s="3">
        <v>0.12130000000000001</v>
      </c>
      <c r="K156" s="3">
        <v>0.82869999999999999</v>
      </c>
      <c r="L156" s="3">
        <v>14.4335</v>
      </c>
    </row>
    <row r="157" spans="1:12" x14ac:dyDescent="0.35">
      <c r="A157" s="2" t="s">
        <v>169</v>
      </c>
      <c r="B157" s="2">
        <v>0</v>
      </c>
      <c r="C157" s="2" t="str">
        <f t="shared" si="4"/>
        <v>Non-Bankrupt</v>
      </c>
      <c r="D157" s="2" t="s">
        <v>13</v>
      </c>
      <c r="E157" s="3">
        <v>1.494</v>
      </c>
      <c r="F157" s="3">
        <v>1.7978000000000001</v>
      </c>
      <c r="G157" s="3">
        <v>0.43490000000000001</v>
      </c>
      <c r="H157" s="3">
        <v>8.7228999999999992</v>
      </c>
      <c r="I157" s="3">
        <v>-3.5200000000000002E-2</v>
      </c>
      <c r="J157" s="3">
        <v>0.14899999999999999</v>
      </c>
      <c r="K157" s="3">
        <v>1.1718</v>
      </c>
      <c r="L157" s="3">
        <v>15.455500000000001</v>
      </c>
    </row>
    <row r="158" spans="1:12" x14ac:dyDescent="0.35">
      <c r="A158" s="2" t="s">
        <v>170</v>
      </c>
      <c r="B158" s="2">
        <v>1</v>
      </c>
      <c r="C158" s="2" t="str">
        <f t="shared" si="4"/>
        <v>Bankrupt</v>
      </c>
      <c r="D158" s="2" t="s">
        <v>13</v>
      </c>
      <c r="E158" s="3">
        <v>1.8051999999999999</v>
      </c>
      <c r="F158" s="3">
        <v>1.4397</v>
      </c>
      <c r="G158" s="3">
        <v>1.1107</v>
      </c>
      <c r="H158" s="3">
        <v>1.1503000000000001</v>
      </c>
      <c r="I158" s="3">
        <v>-4.4699999999999997E-2</v>
      </c>
      <c r="J158" s="3">
        <v>-2.41E-2</v>
      </c>
      <c r="K158" s="3">
        <v>1.1721999999999999</v>
      </c>
      <c r="L158" s="3">
        <v>14.6675</v>
      </c>
    </row>
    <row r="159" spans="1:12" x14ac:dyDescent="0.35">
      <c r="A159" s="2" t="s">
        <v>171</v>
      </c>
      <c r="B159" s="2">
        <v>1</v>
      </c>
      <c r="C159" s="2" t="str">
        <f t="shared" si="4"/>
        <v>Bankrupt</v>
      </c>
      <c r="D159" s="2" t="s">
        <v>13</v>
      </c>
      <c r="E159" s="3">
        <v>1.9271</v>
      </c>
      <c r="F159" s="3">
        <v>1.2519</v>
      </c>
      <c r="G159" s="3">
        <v>1.7421</v>
      </c>
      <c r="H159" s="3">
        <v>3.6269</v>
      </c>
      <c r="I159" s="3">
        <v>-4.7E-2</v>
      </c>
      <c r="J159" s="3">
        <v>-4.3400000000000001E-2</v>
      </c>
      <c r="K159" s="3">
        <v>1.0099</v>
      </c>
      <c r="L159" s="3">
        <v>11.6891</v>
      </c>
    </row>
    <row r="160" spans="1:12" x14ac:dyDescent="0.35">
      <c r="A160" s="2" t="s">
        <v>172</v>
      </c>
      <c r="B160" s="2">
        <v>0</v>
      </c>
      <c r="C160" s="2" t="str">
        <f t="shared" si="4"/>
        <v>Non-Bankrupt</v>
      </c>
      <c r="D160" s="2" t="s">
        <v>13</v>
      </c>
      <c r="E160" s="3">
        <v>2.7311999999999999</v>
      </c>
      <c r="F160" s="3">
        <v>1.5369999999999999</v>
      </c>
      <c r="G160" s="3">
        <v>1.3042</v>
      </c>
      <c r="H160" s="3">
        <v>2.3971</v>
      </c>
      <c r="I160" s="3">
        <v>6.4000000000000003E-3</v>
      </c>
      <c r="J160" s="3">
        <v>0.1086</v>
      </c>
      <c r="K160" s="3">
        <v>1.196</v>
      </c>
      <c r="L160" s="3">
        <v>13.0418</v>
      </c>
    </row>
    <row r="161" spans="1:12" x14ac:dyDescent="0.35">
      <c r="A161" s="2" t="s">
        <v>173</v>
      </c>
      <c r="B161" s="2">
        <v>0</v>
      </c>
      <c r="C161" s="2" t="str">
        <f t="shared" si="4"/>
        <v>Non-Bankrupt</v>
      </c>
      <c r="D161" s="2" t="s">
        <v>13</v>
      </c>
      <c r="E161" s="3">
        <v>0.80769999999999997</v>
      </c>
      <c r="F161" s="3">
        <v>0.69689999999999996</v>
      </c>
      <c r="G161" s="3">
        <v>1.2968</v>
      </c>
      <c r="H161" s="3">
        <v>-1.4803999999999999</v>
      </c>
      <c r="I161" s="3">
        <v>4.5900000000000003E-2</v>
      </c>
      <c r="J161" s="3">
        <v>9.6299999999999997E-2</v>
      </c>
      <c r="K161" s="3">
        <v>1.5159</v>
      </c>
      <c r="L161" s="3">
        <v>13.3322</v>
      </c>
    </row>
    <row r="162" spans="1:12" x14ac:dyDescent="0.35">
      <c r="A162" s="2" t="s">
        <v>174</v>
      </c>
      <c r="B162" s="2">
        <v>1</v>
      </c>
      <c r="C162" s="2" t="str">
        <f t="shared" ref="C162:C193" si="5">IF(B162=1,"Bankrupt","Non-Bankrupt")</f>
        <v>Bankrupt</v>
      </c>
      <c r="D162" s="2" t="s">
        <v>13</v>
      </c>
      <c r="E162" s="3">
        <v>0.21079999999999999</v>
      </c>
      <c r="F162" s="3">
        <v>0.93389999999999995</v>
      </c>
      <c r="G162" s="3">
        <v>1.1333</v>
      </c>
      <c r="H162" s="3">
        <v>1.0871</v>
      </c>
      <c r="I162" s="3">
        <v>9.7799999999999998E-2</v>
      </c>
      <c r="J162" s="3">
        <v>1.2699999999999999E-2</v>
      </c>
      <c r="K162" s="3">
        <v>1.1850000000000001</v>
      </c>
      <c r="L162" s="3">
        <v>14.1576</v>
      </c>
    </row>
    <row r="163" spans="1:12" x14ac:dyDescent="0.35">
      <c r="A163" s="2" t="s">
        <v>175</v>
      </c>
      <c r="B163" s="2">
        <v>0</v>
      </c>
      <c r="C163" s="2" t="str">
        <f t="shared" si="5"/>
        <v>Non-Bankrupt</v>
      </c>
      <c r="D163" s="2" t="s">
        <v>13</v>
      </c>
      <c r="E163" s="3">
        <v>1.4565999999999999</v>
      </c>
      <c r="F163" s="3">
        <v>1.2948</v>
      </c>
      <c r="G163" s="3">
        <v>1.6817</v>
      </c>
      <c r="H163" s="3">
        <v>4.4931999999999999</v>
      </c>
      <c r="I163" s="3">
        <v>4.4200000000000003E-2</v>
      </c>
      <c r="J163" s="3">
        <v>6.6100000000000006E-2</v>
      </c>
      <c r="K163" s="3">
        <v>1.3843000000000001</v>
      </c>
      <c r="L163" s="3">
        <v>13.399699999999999</v>
      </c>
    </row>
    <row r="164" spans="1:12" x14ac:dyDescent="0.35">
      <c r="A164" s="2" t="s">
        <v>176</v>
      </c>
      <c r="B164" s="2">
        <v>0</v>
      </c>
      <c r="C164" s="2" t="str">
        <f t="shared" si="5"/>
        <v>Non-Bankrupt</v>
      </c>
      <c r="D164" s="2" t="s">
        <v>21</v>
      </c>
      <c r="E164" s="3">
        <v>1.5921000000000001</v>
      </c>
      <c r="F164" s="3">
        <v>1.8160000000000001</v>
      </c>
      <c r="G164" s="3">
        <v>1.0708</v>
      </c>
      <c r="H164" s="3">
        <v>5.9593999999999996</v>
      </c>
      <c r="I164" s="3">
        <v>8.6300000000000002E-2</v>
      </c>
      <c r="J164" s="3">
        <v>-1.8599999999999998E-2</v>
      </c>
      <c r="K164" s="3">
        <v>1.3207</v>
      </c>
      <c r="L164" s="3">
        <v>15.279400000000001</v>
      </c>
    </row>
    <row r="165" spans="1:12" x14ac:dyDescent="0.35">
      <c r="A165" s="2" t="s">
        <v>177</v>
      </c>
      <c r="B165" s="2">
        <v>0</v>
      </c>
      <c r="C165" s="2" t="str">
        <f t="shared" si="5"/>
        <v>Non-Bankrupt</v>
      </c>
      <c r="D165" s="2" t="s">
        <v>13</v>
      </c>
      <c r="E165" s="3">
        <v>1.4854000000000001</v>
      </c>
      <c r="F165" s="3">
        <v>1.1823999999999999</v>
      </c>
      <c r="G165" s="3">
        <v>1.4219999999999999</v>
      </c>
      <c r="H165" s="3">
        <v>0.50619999999999998</v>
      </c>
      <c r="I165" s="3">
        <v>4.3999999999999997E-2</v>
      </c>
      <c r="J165" s="3">
        <v>-2.1100000000000001E-2</v>
      </c>
      <c r="K165" s="3">
        <v>1.2565</v>
      </c>
      <c r="L165" s="3">
        <v>13.6812</v>
      </c>
    </row>
    <row r="166" spans="1:12" x14ac:dyDescent="0.35">
      <c r="A166" s="2" t="s">
        <v>178</v>
      </c>
      <c r="B166" s="2">
        <v>0</v>
      </c>
      <c r="C166" s="2" t="str">
        <f t="shared" si="5"/>
        <v>Non-Bankrupt</v>
      </c>
      <c r="D166" s="2" t="s">
        <v>21</v>
      </c>
      <c r="E166" s="3">
        <v>1.3821000000000001</v>
      </c>
      <c r="F166" s="3">
        <v>1.0814999999999999</v>
      </c>
      <c r="G166" s="3">
        <v>1.2669999999999999</v>
      </c>
      <c r="H166" s="3">
        <v>4.4225000000000003</v>
      </c>
      <c r="I166" s="3">
        <v>9.8400000000000001E-2</v>
      </c>
      <c r="J166" s="3">
        <v>6.13E-2</v>
      </c>
      <c r="K166" s="3">
        <v>1.0887</v>
      </c>
      <c r="L166" s="3">
        <v>13.271800000000001</v>
      </c>
    </row>
    <row r="167" spans="1:12" x14ac:dyDescent="0.35">
      <c r="A167" s="2" t="s">
        <v>179</v>
      </c>
      <c r="B167" s="2">
        <v>0</v>
      </c>
      <c r="C167" s="2" t="str">
        <f t="shared" si="5"/>
        <v>Non-Bankrupt</v>
      </c>
      <c r="D167" s="2" t="s">
        <v>13</v>
      </c>
      <c r="E167" s="3">
        <v>1.5506</v>
      </c>
      <c r="F167" s="3">
        <v>0.7198</v>
      </c>
      <c r="G167" s="3">
        <v>0.11700000000000001</v>
      </c>
      <c r="H167" s="3">
        <v>3.149</v>
      </c>
      <c r="I167" s="3">
        <v>6.1199999999999997E-2</v>
      </c>
      <c r="J167" s="3">
        <v>7.9200000000000007E-2</v>
      </c>
      <c r="K167" s="3">
        <v>1.4912000000000001</v>
      </c>
      <c r="L167" s="3">
        <v>16.2715</v>
      </c>
    </row>
    <row r="168" spans="1:12" x14ac:dyDescent="0.35">
      <c r="A168" s="2" t="s">
        <v>180</v>
      </c>
      <c r="B168" s="2">
        <v>0</v>
      </c>
      <c r="C168" s="2" t="str">
        <f t="shared" si="5"/>
        <v>Non-Bankrupt</v>
      </c>
      <c r="D168" s="2" t="s">
        <v>13</v>
      </c>
      <c r="E168" s="3">
        <v>1.2715000000000001</v>
      </c>
      <c r="F168" s="3">
        <v>0.54110000000000003</v>
      </c>
      <c r="G168" s="3">
        <v>2.1312000000000002</v>
      </c>
      <c r="H168" s="3">
        <v>3.782</v>
      </c>
      <c r="I168" s="3">
        <v>4.1700000000000001E-2</v>
      </c>
      <c r="J168" s="3">
        <v>2.3599999999999999E-2</v>
      </c>
      <c r="K168" s="3">
        <v>1.9845999999999999</v>
      </c>
      <c r="L168" s="3">
        <v>16.007200000000001</v>
      </c>
    </row>
    <row r="169" spans="1:12" x14ac:dyDescent="0.35">
      <c r="A169" s="2" t="s">
        <v>181</v>
      </c>
      <c r="B169" s="2">
        <v>1</v>
      </c>
      <c r="C169" s="2" t="str">
        <f t="shared" si="5"/>
        <v>Bankrupt</v>
      </c>
      <c r="D169" s="2" t="s">
        <v>13</v>
      </c>
      <c r="E169" s="3">
        <v>1.0482</v>
      </c>
      <c r="F169" s="3">
        <v>0.38169999999999998</v>
      </c>
      <c r="G169" s="3">
        <v>1.6155999999999999</v>
      </c>
      <c r="H169" s="3">
        <v>0.35709999999999997</v>
      </c>
      <c r="I169" s="3">
        <v>1.6999999999999999E-3</v>
      </c>
      <c r="J169" s="3">
        <v>-2.76E-2</v>
      </c>
      <c r="K169" s="3">
        <v>1.2143999999999999</v>
      </c>
      <c r="L169" s="3">
        <v>15.1731</v>
      </c>
    </row>
    <row r="170" spans="1:12" x14ac:dyDescent="0.35">
      <c r="A170" s="2" t="s">
        <v>182</v>
      </c>
      <c r="B170" s="2">
        <v>0</v>
      </c>
      <c r="C170" s="2" t="str">
        <f t="shared" si="5"/>
        <v>Non-Bankrupt</v>
      </c>
      <c r="D170" s="2" t="s">
        <v>13</v>
      </c>
      <c r="E170" s="3">
        <v>1.5436000000000001</v>
      </c>
      <c r="F170" s="3">
        <v>1.9785999999999999</v>
      </c>
      <c r="G170" s="3">
        <v>1.0085999999999999</v>
      </c>
      <c r="H170" s="3">
        <v>1.5699999999999999E-2</v>
      </c>
      <c r="I170" s="3">
        <v>2.81E-2</v>
      </c>
      <c r="J170" s="3">
        <v>2.9600000000000001E-2</v>
      </c>
      <c r="K170" s="3">
        <v>1.2357</v>
      </c>
      <c r="L170" s="3">
        <v>14.6892</v>
      </c>
    </row>
    <row r="171" spans="1:12" x14ac:dyDescent="0.35">
      <c r="A171" s="2" t="s">
        <v>183</v>
      </c>
      <c r="B171" s="2">
        <v>0</v>
      </c>
      <c r="C171" s="2" t="str">
        <f t="shared" si="5"/>
        <v>Non-Bankrupt</v>
      </c>
      <c r="D171" s="2" t="s">
        <v>13</v>
      </c>
      <c r="E171" s="3">
        <v>1.1803999999999999</v>
      </c>
      <c r="F171" s="3">
        <v>1.2582</v>
      </c>
      <c r="G171" s="3">
        <v>1.9757</v>
      </c>
      <c r="H171" s="3">
        <v>6.2241999999999997</v>
      </c>
      <c r="I171" s="3">
        <v>0.1308</v>
      </c>
      <c r="J171" s="3">
        <v>-5.21E-2</v>
      </c>
      <c r="K171" s="3">
        <v>1.3261000000000001</v>
      </c>
      <c r="L171" s="3">
        <v>15.1936</v>
      </c>
    </row>
    <row r="172" spans="1:12" x14ac:dyDescent="0.35">
      <c r="A172" s="2" t="s">
        <v>184</v>
      </c>
      <c r="B172" s="2">
        <v>0</v>
      </c>
      <c r="C172" s="2" t="str">
        <f t="shared" si="5"/>
        <v>Non-Bankrupt</v>
      </c>
      <c r="D172" s="2" t="s">
        <v>21</v>
      </c>
      <c r="E172" s="3">
        <v>1.7618</v>
      </c>
      <c r="F172" s="3">
        <v>1.4615</v>
      </c>
      <c r="G172" s="3">
        <v>1.3942000000000001</v>
      </c>
      <c r="H172" s="3">
        <v>7.4802</v>
      </c>
      <c r="I172" s="3">
        <v>3.0800000000000001E-2</v>
      </c>
      <c r="J172" s="3">
        <v>0.14660000000000001</v>
      </c>
      <c r="K172" s="3">
        <v>1.6294</v>
      </c>
      <c r="L172" s="3">
        <v>14.534599999999999</v>
      </c>
    </row>
    <row r="173" spans="1:12" x14ac:dyDescent="0.35">
      <c r="A173" s="2" t="s">
        <v>185</v>
      </c>
      <c r="B173" s="2">
        <v>1</v>
      </c>
      <c r="C173" s="2" t="str">
        <f t="shared" si="5"/>
        <v>Bankrupt</v>
      </c>
      <c r="D173" s="2" t="s">
        <v>13</v>
      </c>
      <c r="E173" s="3">
        <v>1.0920000000000001</v>
      </c>
      <c r="F173" s="3">
        <v>0.4703</v>
      </c>
      <c r="G173" s="3">
        <v>2.4329999999999998</v>
      </c>
      <c r="H173" s="3">
        <v>4.7336999999999998</v>
      </c>
      <c r="I173" s="3">
        <v>1.14E-2</v>
      </c>
      <c r="J173" s="3">
        <v>5.8799999999999998E-2</v>
      </c>
      <c r="K173" s="3">
        <v>1.0944</v>
      </c>
      <c r="L173" s="3">
        <v>16.090299999999999</v>
      </c>
    </row>
    <row r="174" spans="1:12" x14ac:dyDescent="0.35">
      <c r="A174" s="2" t="s">
        <v>186</v>
      </c>
      <c r="B174" s="2">
        <v>0</v>
      </c>
      <c r="C174" s="2" t="str">
        <f t="shared" si="5"/>
        <v>Non-Bankrupt</v>
      </c>
      <c r="D174" s="2" t="s">
        <v>21</v>
      </c>
      <c r="E174" s="3">
        <v>1.3866000000000001</v>
      </c>
      <c r="F174" s="3">
        <v>0.2979</v>
      </c>
      <c r="G174" s="3">
        <v>0.97170000000000001</v>
      </c>
      <c r="H174" s="3">
        <v>3.7818999999999998</v>
      </c>
      <c r="I174" s="3">
        <v>7.2800000000000004E-2</v>
      </c>
      <c r="J174" s="3">
        <v>2.5600000000000001E-2</v>
      </c>
      <c r="K174" s="3">
        <v>0.76300000000000001</v>
      </c>
      <c r="L174" s="3">
        <v>14.553800000000001</v>
      </c>
    </row>
    <row r="175" spans="1:12" x14ac:dyDescent="0.35">
      <c r="A175" s="2" t="s">
        <v>187</v>
      </c>
      <c r="B175" s="2">
        <v>1</v>
      </c>
      <c r="C175" s="2" t="str">
        <f t="shared" si="5"/>
        <v>Bankrupt</v>
      </c>
      <c r="D175" s="2" t="s">
        <v>21</v>
      </c>
      <c r="E175" s="3">
        <v>1.0539000000000001</v>
      </c>
      <c r="F175" s="3">
        <v>0.1</v>
      </c>
      <c r="G175" s="3">
        <v>2.7791999999999999</v>
      </c>
      <c r="H175" s="3">
        <v>4.8685</v>
      </c>
      <c r="I175" s="3">
        <v>6.6E-3</v>
      </c>
      <c r="J175" s="3">
        <v>-4.3400000000000001E-2</v>
      </c>
      <c r="K175" s="3">
        <v>0.56000000000000005</v>
      </c>
      <c r="L175" s="3">
        <v>16.3169</v>
      </c>
    </row>
    <row r="176" spans="1:12" x14ac:dyDescent="0.35">
      <c r="A176" s="2" t="s">
        <v>188</v>
      </c>
      <c r="B176" s="2">
        <v>0</v>
      </c>
      <c r="C176" s="2" t="str">
        <f t="shared" si="5"/>
        <v>Non-Bankrupt</v>
      </c>
      <c r="D176" s="2" t="s">
        <v>13</v>
      </c>
      <c r="E176" s="3">
        <v>2.41</v>
      </c>
      <c r="F176" s="3">
        <v>1.0606</v>
      </c>
      <c r="G176" s="3">
        <v>1.8307</v>
      </c>
      <c r="H176" s="3">
        <v>7.8640999999999996</v>
      </c>
      <c r="I176" s="3">
        <v>-3.1399999999999997E-2</v>
      </c>
      <c r="J176" s="3">
        <v>9.06E-2</v>
      </c>
      <c r="K176" s="3">
        <v>0.80549999999999999</v>
      </c>
      <c r="L176" s="3">
        <v>15.5243</v>
      </c>
    </row>
    <row r="177" spans="1:12" x14ac:dyDescent="0.35">
      <c r="A177" s="2" t="s">
        <v>189</v>
      </c>
      <c r="B177" s="2">
        <v>0</v>
      </c>
      <c r="C177" s="2" t="str">
        <f t="shared" si="5"/>
        <v>Non-Bankrupt</v>
      </c>
      <c r="D177" s="2" t="s">
        <v>21</v>
      </c>
      <c r="E177" s="3">
        <v>1.0364</v>
      </c>
      <c r="F177" s="3">
        <v>1.1028</v>
      </c>
      <c r="G177" s="3">
        <v>0.75539999999999996</v>
      </c>
      <c r="H177" s="3">
        <v>11.3392</v>
      </c>
      <c r="I177" s="3">
        <v>8.9800000000000005E-2</v>
      </c>
      <c r="J177" s="3">
        <v>4.7500000000000001E-2</v>
      </c>
      <c r="K177" s="3">
        <v>1.1247</v>
      </c>
      <c r="L177" s="3">
        <v>15.9489</v>
      </c>
    </row>
    <row r="178" spans="1:12" x14ac:dyDescent="0.35">
      <c r="A178" s="2" t="s">
        <v>190</v>
      </c>
      <c r="B178" s="2">
        <v>0</v>
      </c>
      <c r="C178" s="2" t="str">
        <f t="shared" si="5"/>
        <v>Non-Bankrupt</v>
      </c>
      <c r="D178" s="2" t="s">
        <v>21</v>
      </c>
      <c r="E178" s="3">
        <v>2.1657000000000002</v>
      </c>
      <c r="F178" s="3">
        <v>0.63</v>
      </c>
      <c r="G178" s="3">
        <v>1.0255000000000001</v>
      </c>
      <c r="H178" s="3">
        <v>5.8258000000000001</v>
      </c>
      <c r="I178" s="3">
        <v>-1.4500000000000001E-2</v>
      </c>
      <c r="J178" s="3">
        <v>0.1119</v>
      </c>
      <c r="K178" s="3">
        <v>1.4578</v>
      </c>
      <c r="L178" s="3">
        <v>15.6188</v>
      </c>
    </row>
    <row r="179" spans="1:12" x14ac:dyDescent="0.35">
      <c r="A179" s="2" t="s">
        <v>191</v>
      </c>
      <c r="B179" s="2">
        <v>1</v>
      </c>
      <c r="C179" s="2" t="str">
        <f t="shared" si="5"/>
        <v>Bankrupt</v>
      </c>
      <c r="D179" s="2" t="s">
        <v>13</v>
      </c>
      <c r="E179" s="3">
        <v>2.4823</v>
      </c>
      <c r="F179" s="3">
        <v>0.7278</v>
      </c>
      <c r="G179" s="3">
        <v>1.169</v>
      </c>
      <c r="H179" s="3">
        <v>3.5209000000000001</v>
      </c>
      <c r="I179" s="3">
        <v>4.2299999999999997E-2</v>
      </c>
      <c r="J179" s="3">
        <v>1.6400000000000001E-2</v>
      </c>
      <c r="K179" s="3">
        <v>1.0183</v>
      </c>
      <c r="L179" s="3">
        <v>17.139099999999999</v>
      </c>
    </row>
    <row r="180" spans="1:12" x14ac:dyDescent="0.35">
      <c r="A180" s="2" t="s">
        <v>192</v>
      </c>
      <c r="B180" s="2">
        <v>1</v>
      </c>
      <c r="C180" s="2" t="str">
        <f t="shared" si="5"/>
        <v>Bankrupt</v>
      </c>
      <c r="D180" s="2" t="s">
        <v>13</v>
      </c>
      <c r="E180" s="3">
        <v>1.6044</v>
      </c>
      <c r="F180" s="3">
        <v>1.0318000000000001</v>
      </c>
      <c r="G180" s="3">
        <v>1.8271999999999999</v>
      </c>
      <c r="H180" s="3">
        <v>-1.5</v>
      </c>
      <c r="I180" s="3">
        <v>-2.64E-2</v>
      </c>
      <c r="J180" s="3">
        <v>8.3199999999999996E-2</v>
      </c>
      <c r="K180" s="3">
        <v>0.94389999999999996</v>
      </c>
      <c r="L180" s="3">
        <v>16.111599999999999</v>
      </c>
    </row>
    <row r="181" spans="1:12" x14ac:dyDescent="0.35">
      <c r="A181" s="2" t="s">
        <v>193</v>
      </c>
      <c r="B181" s="2">
        <v>1</v>
      </c>
      <c r="C181" s="2" t="str">
        <f t="shared" si="5"/>
        <v>Bankrupt</v>
      </c>
      <c r="D181" s="2" t="s">
        <v>13</v>
      </c>
      <c r="E181" s="3">
        <v>0.98839999999999995</v>
      </c>
      <c r="F181" s="3">
        <v>1.3489</v>
      </c>
      <c r="G181" s="3">
        <v>0.68769999999999998</v>
      </c>
      <c r="H181" s="3">
        <v>3.2917000000000001</v>
      </c>
      <c r="I181" s="3">
        <v>-0.13900000000000001</v>
      </c>
      <c r="J181" s="3">
        <v>5.11E-2</v>
      </c>
      <c r="K181" s="3">
        <v>0.80430000000000001</v>
      </c>
      <c r="L181" s="3">
        <v>15.8796</v>
      </c>
    </row>
  </sheetData>
  <autoFilter ref="A1:L181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opLeftCell="A4" zoomScaleNormal="100" workbookViewId="0">
      <selection activeCell="A17" sqref="A17:XFD17"/>
    </sheetView>
  </sheetViews>
  <sheetFormatPr defaultColWidth="8.6328125" defaultRowHeight="14.5" x14ac:dyDescent="0.35"/>
  <cols>
    <col min="1" max="1" width="20" customWidth="1"/>
    <col min="2" max="2" width="22" customWidth="1"/>
    <col min="3" max="3" width="48" customWidth="1"/>
    <col min="4" max="4" width="18" customWidth="1"/>
    <col min="5" max="5" width="16" customWidth="1"/>
    <col min="6" max="6" width="30" customWidth="1"/>
  </cols>
  <sheetData>
    <row r="1" spans="1:6" ht="16.5" x14ac:dyDescent="0.35">
      <c r="A1" s="4" t="s">
        <v>194</v>
      </c>
    </row>
    <row r="3" spans="1:6" x14ac:dyDescent="0.35">
      <c r="A3" s="1" t="s">
        <v>195</v>
      </c>
      <c r="B3" s="1" t="s">
        <v>196</v>
      </c>
      <c r="C3" s="1" t="s">
        <v>197</v>
      </c>
      <c r="D3" s="1" t="s">
        <v>198</v>
      </c>
      <c r="E3" s="1" t="s">
        <v>199</v>
      </c>
      <c r="F3" s="1" t="s">
        <v>200</v>
      </c>
    </row>
    <row r="4" spans="1:6" x14ac:dyDescent="0.35">
      <c r="A4" s="5" t="s">
        <v>0</v>
      </c>
      <c r="B4" s="5" t="s">
        <v>201</v>
      </c>
      <c r="C4" s="5" t="s">
        <v>202</v>
      </c>
      <c r="D4" s="5" t="s">
        <v>203</v>
      </c>
      <c r="E4" s="5" t="s">
        <v>204</v>
      </c>
      <c r="F4" s="5"/>
    </row>
    <row r="5" spans="1:6" x14ac:dyDescent="0.35">
      <c r="A5" s="5" t="s">
        <v>1</v>
      </c>
      <c r="B5" s="5" t="s">
        <v>205</v>
      </c>
      <c r="C5" s="5" t="s">
        <v>206</v>
      </c>
      <c r="D5" s="5" t="s">
        <v>207</v>
      </c>
      <c r="E5" s="5" t="s">
        <v>208</v>
      </c>
      <c r="F5" s="5" t="s">
        <v>209</v>
      </c>
    </row>
    <row r="6" spans="1:6" x14ac:dyDescent="0.35">
      <c r="A6" s="5" t="s">
        <v>2</v>
      </c>
      <c r="B6" s="5" t="s">
        <v>210</v>
      </c>
      <c r="C6" s="5" t="s">
        <v>211</v>
      </c>
      <c r="D6" s="5" t="s">
        <v>212</v>
      </c>
      <c r="E6" s="5" t="s">
        <v>204</v>
      </c>
      <c r="F6" s="5"/>
    </row>
    <row r="7" spans="1:6" ht="28" x14ac:dyDescent="0.35">
      <c r="A7" s="5" t="s">
        <v>3</v>
      </c>
      <c r="B7" s="5" t="s">
        <v>213</v>
      </c>
      <c r="C7" s="5" t="s">
        <v>214</v>
      </c>
      <c r="D7" s="5" t="s">
        <v>212</v>
      </c>
      <c r="E7" s="5" t="s">
        <v>204</v>
      </c>
      <c r="F7" s="5" t="s">
        <v>215</v>
      </c>
    </row>
    <row r="8" spans="1:6" x14ac:dyDescent="0.35">
      <c r="A8" s="5" t="s">
        <v>4</v>
      </c>
      <c r="B8" s="5" t="s">
        <v>216</v>
      </c>
      <c r="C8" s="5" t="s">
        <v>217</v>
      </c>
      <c r="D8" s="5" t="s">
        <v>218</v>
      </c>
      <c r="E8" s="5" t="s">
        <v>219</v>
      </c>
      <c r="F8" s="5" t="s">
        <v>220</v>
      </c>
    </row>
    <row r="9" spans="1:6" x14ac:dyDescent="0.35">
      <c r="A9" s="5" t="s">
        <v>5</v>
      </c>
      <c r="B9" s="5" t="s">
        <v>221</v>
      </c>
      <c r="C9" s="5" t="s">
        <v>222</v>
      </c>
      <c r="D9" s="5" t="s">
        <v>218</v>
      </c>
      <c r="E9" s="5" t="s">
        <v>219</v>
      </c>
      <c r="F9" s="5" t="s">
        <v>220</v>
      </c>
    </row>
    <row r="10" spans="1:6" x14ac:dyDescent="0.35">
      <c r="A10" s="5" t="s">
        <v>6</v>
      </c>
      <c r="B10" s="5" t="s">
        <v>223</v>
      </c>
      <c r="C10" s="5" t="s">
        <v>224</v>
      </c>
      <c r="D10" s="5" t="s">
        <v>225</v>
      </c>
      <c r="E10" s="5" t="s">
        <v>219</v>
      </c>
      <c r="F10" s="5" t="s">
        <v>220</v>
      </c>
    </row>
    <row r="11" spans="1:6" x14ac:dyDescent="0.35">
      <c r="A11" s="5" t="s">
        <v>7</v>
      </c>
      <c r="B11" s="5" t="s">
        <v>226</v>
      </c>
      <c r="C11" s="5" t="s">
        <v>227</v>
      </c>
      <c r="D11" s="5" t="s">
        <v>225</v>
      </c>
      <c r="E11" s="5" t="s">
        <v>219</v>
      </c>
      <c r="F11" s="5" t="s">
        <v>220</v>
      </c>
    </row>
    <row r="12" spans="1:6" x14ac:dyDescent="0.35">
      <c r="A12" s="5" t="s">
        <v>8</v>
      </c>
      <c r="B12" s="5" t="s">
        <v>8</v>
      </c>
      <c r="C12" s="5" t="s">
        <v>228</v>
      </c>
      <c r="D12" s="5" t="s">
        <v>229</v>
      </c>
      <c r="E12" s="5" t="s">
        <v>219</v>
      </c>
      <c r="F12" s="5" t="s">
        <v>220</v>
      </c>
    </row>
    <row r="13" spans="1:6" x14ac:dyDescent="0.35">
      <c r="A13" s="5" t="s">
        <v>9</v>
      </c>
      <c r="B13" s="5" t="s">
        <v>230</v>
      </c>
      <c r="C13" s="5" t="s">
        <v>231</v>
      </c>
      <c r="D13" s="5" t="s">
        <v>229</v>
      </c>
      <c r="E13" s="5" t="s">
        <v>219</v>
      </c>
      <c r="F13" s="5" t="s">
        <v>220</v>
      </c>
    </row>
    <row r="14" spans="1:6" x14ac:dyDescent="0.35">
      <c r="A14" s="5" t="s">
        <v>10</v>
      </c>
      <c r="B14" s="5" t="s">
        <v>232</v>
      </c>
      <c r="C14" s="5" t="s">
        <v>233</v>
      </c>
      <c r="D14" s="5" t="s">
        <v>234</v>
      </c>
      <c r="E14" s="5" t="s">
        <v>219</v>
      </c>
      <c r="F14" s="5" t="s">
        <v>220</v>
      </c>
    </row>
    <row r="15" spans="1:6" x14ac:dyDescent="0.35">
      <c r="A15" s="5" t="s">
        <v>11</v>
      </c>
      <c r="B15" s="5" t="s">
        <v>235</v>
      </c>
      <c r="C15" s="5" t="s">
        <v>236</v>
      </c>
      <c r="D15" s="5" t="s">
        <v>237</v>
      </c>
      <c r="E15" s="5" t="s">
        <v>219</v>
      </c>
      <c r="F15" s="5" t="s">
        <v>220</v>
      </c>
    </row>
    <row r="17" spans="1:1" x14ac:dyDescent="0.35">
      <c r="A17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topLeftCell="A10" zoomScaleNormal="100" workbookViewId="0">
      <selection activeCell="A13" sqref="A13:XFD13"/>
    </sheetView>
  </sheetViews>
  <sheetFormatPr defaultColWidth="8.6328125" defaultRowHeight="14.5" x14ac:dyDescent="0.35"/>
  <cols>
    <col min="1" max="1" width="22" customWidth="1"/>
    <col min="2" max="2" width="7" customWidth="1"/>
    <col min="3" max="6" width="11" customWidth="1"/>
    <col min="7" max="7" width="3" customWidth="1"/>
    <col min="8" max="8" width="14" customWidth="1"/>
    <col min="9" max="11" width="13" customWidth="1"/>
    <col min="12" max="12" width="8" customWidth="1"/>
  </cols>
  <sheetData>
    <row r="1" spans="1:12" ht="16.5" x14ac:dyDescent="0.35">
      <c r="A1" s="4" t="s">
        <v>238</v>
      </c>
    </row>
    <row r="3" spans="1:12" ht="28" x14ac:dyDescent="0.35">
      <c r="A3" s="1" t="s">
        <v>239</v>
      </c>
      <c r="B3" s="1" t="s">
        <v>240</v>
      </c>
      <c r="C3" s="1" t="s">
        <v>241</v>
      </c>
      <c r="D3" s="1" t="s">
        <v>242</v>
      </c>
      <c r="E3" s="1" t="s">
        <v>243</v>
      </c>
      <c r="F3" s="1" t="s">
        <v>244</v>
      </c>
      <c r="G3" s="1"/>
      <c r="H3" s="1" t="s">
        <v>245</v>
      </c>
      <c r="I3" s="1" t="s">
        <v>246</v>
      </c>
      <c r="J3" s="1" t="s">
        <v>247</v>
      </c>
      <c r="K3" s="1" t="s">
        <v>248</v>
      </c>
      <c r="L3" s="1" t="s">
        <v>249</v>
      </c>
    </row>
    <row r="4" spans="1:12" x14ac:dyDescent="0.35">
      <c r="A4" s="7" t="s">
        <v>216</v>
      </c>
      <c r="B4" s="8">
        <f>COUNT(Dataset!$E$2:$E$181)</f>
        <v>180</v>
      </c>
      <c r="C4" s="9">
        <f>AVERAGE(Dataset!$E$2:$E$181)</f>
        <v>1.5296011111111114</v>
      </c>
      <c r="D4" s="9">
        <f>STDEV(Dataset!$E$2:$E$181)</f>
        <v>0.51840146302867096</v>
      </c>
      <c r="E4" s="9">
        <f>MIN(Dataset!$E$2:$E$181)</f>
        <v>0.2</v>
      </c>
      <c r="F4" s="9">
        <f>MAX(Dataset!$E$2:$E$181)</f>
        <v>3.0049999999999999</v>
      </c>
      <c r="H4" s="10">
        <v>1.53</v>
      </c>
      <c r="I4" s="10">
        <v>0.51800000000000002</v>
      </c>
      <c r="J4" s="10">
        <v>0.2</v>
      </c>
      <c r="K4" s="10">
        <v>3.0049999999999999</v>
      </c>
      <c r="L4" s="11" t="str">
        <f t="shared" ref="L4:L11" si="0">IF(AND(ROUND(C4,3)=H4,ROUND(D4,3)=I4,ROUND(E4,3)=J4,ROUND(F4,3)=K4),"✓","✗")</f>
        <v>✓</v>
      </c>
    </row>
    <row r="5" spans="1:12" x14ac:dyDescent="0.35">
      <c r="A5" s="7" t="s">
        <v>221</v>
      </c>
      <c r="B5" s="8">
        <f>COUNT(Dataset!$F$2:$F$181)</f>
        <v>180</v>
      </c>
      <c r="C5" s="9">
        <f>AVERAGE(Dataset!$F$2:$F$181)</f>
        <v>1.1330261111111102</v>
      </c>
      <c r="D5" s="9">
        <f>STDEV(Dataset!$F$2:$F$181)</f>
        <v>0.5193986805089158</v>
      </c>
      <c r="E5" s="9">
        <f>MIN(Dataset!$F$2:$F$181)</f>
        <v>0.1</v>
      </c>
      <c r="F5" s="9">
        <f>MAX(Dataset!$F$2:$F$181)</f>
        <v>3</v>
      </c>
      <c r="H5" s="10">
        <v>1.133</v>
      </c>
      <c r="I5" s="10">
        <v>0.51900000000000002</v>
      </c>
      <c r="J5" s="10">
        <v>0.1</v>
      </c>
      <c r="K5" s="10">
        <v>3</v>
      </c>
      <c r="L5" s="11" t="str">
        <f t="shared" si="0"/>
        <v>✓</v>
      </c>
    </row>
    <row r="6" spans="1:12" x14ac:dyDescent="0.35">
      <c r="A6" s="7" t="s">
        <v>223</v>
      </c>
      <c r="B6" s="8">
        <f>COUNT(Dataset!$G$2:$G$181)</f>
        <v>180</v>
      </c>
      <c r="C6" s="9">
        <f>AVERAGE(Dataset!$G$2:$G$181)</f>
        <v>1.3321311111111112</v>
      </c>
      <c r="D6" s="9">
        <f>STDEV(Dataset!$G$2:$G$181)</f>
        <v>0.5532594863625534</v>
      </c>
      <c r="E6" s="9">
        <f>MIN(Dataset!$G$2:$G$181)</f>
        <v>0.1</v>
      </c>
      <c r="F6" s="9">
        <f>MAX(Dataset!$G$2:$G$181)</f>
        <v>2.9870000000000001</v>
      </c>
      <c r="H6" s="10">
        <v>1.3320000000000001</v>
      </c>
      <c r="I6" s="10">
        <v>0.55300000000000005</v>
      </c>
      <c r="J6" s="10">
        <v>0.1</v>
      </c>
      <c r="K6" s="10">
        <v>2.9870000000000001</v>
      </c>
      <c r="L6" s="11" t="str">
        <f t="shared" si="0"/>
        <v>✓</v>
      </c>
    </row>
    <row r="7" spans="1:12" x14ac:dyDescent="0.35">
      <c r="A7" s="7" t="s">
        <v>226</v>
      </c>
      <c r="B7" s="8">
        <f>COUNT(Dataset!$H$2:$H$181)</f>
        <v>180</v>
      </c>
      <c r="C7" s="9">
        <f>AVERAGE(Dataset!$H$2:$H$181)</f>
        <v>4.4287366666666657</v>
      </c>
      <c r="D7" s="9">
        <f>STDEV(Dataset!$H$2:$H$181)</f>
        <v>3.3314002740790678</v>
      </c>
      <c r="E7" s="9">
        <f>MIN(Dataset!$H$2:$H$181)</f>
        <v>-1.5</v>
      </c>
      <c r="F7" s="9">
        <f>MAX(Dataset!$H$2:$H$181)</f>
        <v>15.768000000000001</v>
      </c>
      <c r="H7" s="10">
        <v>4.4290000000000003</v>
      </c>
      <c r="I7" s="10">
        <v>3.331</v>
      </c>
      <c r="J7" s="10">
        <v>-1.5</v>
      </c>
      <c r="K7" s="10">
        <v>15.768000000000001</v>
      </c>
      <c r="L7" s="11" t="str">
        <f t="shared" si="0"/>
        <v>✓</v>
      </c>
    </row>
    <row r="8" spans="1:12" x14ac:dyDescent="0.35">
      <c r="A8" s="7" t="s">
        <v>8</v>
      </c>
      <c r="B8" s="8">
        <f>COUNT(Dataset!$I$2:$I$181)</f>
        <v>180</v>
      </c>
      <c r="C8" s="9">
        <f>AVERAGE(Dataset!$I$2:$I$181)</f>
        <v>4.2189444444444432E-2</v>
      </c>
      <c r="D8" s="9">
        <f>STDEV(Dataset!$I$2:$I$181)</f>
        <v>6.3778094256195877E-2</v>
      </c>
      <c r="E8" s="9">
        <f>MIN(Dataset!$I$2:$I$181)</f>
        <v>-0.13900000000000001</v>
      </c>
      <c r="F8" s="9">
        <f>MAX(Dataset!$I$2:$I$181)</f>
        <v>0.2</v>
      </c>
      <c r="H8" s="10">
        <v>4.2000000000000003E-2</v>
      </c>
      <c r="I8" s="10">
        <v>6.4000000000000001E-2</v>
      </c>
      <c r="J8" s="10">
        <v>-0.13900000000000001</v>
      </c>
      <c r="K8" s="10">
        <v>0.2</v>
      </c>
      <c r="L8" s="11" t="str">
        <f t="shared" si="0"/>
        <v>✓</v>
      </c>
    </row>
    <row r="9" spans="1:12" x14ac:dyDescent="0.35">
      <c r="A9" s="7" t="s">
        <v>230</v>
      </c>
      <c r="B9" s="8">
        <f>COUNT(Dataset!$J$2:$J$181)</f>
        <v>180</v>
      </c>
      <c r="C9" s="9">
        <f>AVERAGE(Dataset!$J$2:$J$181)</f>
        <v>4.4990000000000009E-2</v>
      </c>
      <c r="D9" s="9">
        <f>STDEV(Dataset!$J$2:$J$181)</f>
        <v>6.810412099197366E-2</v>
      </c>
      <c r="E9" s="9">
        <f>MIN(Dataset!$J$2:$J$181)</f>
        <v>-0.19400000000000001</v>
      </c>
      <c r="F9" s="9">
        <f>MAX(Dataset!$J$2:$J$181)</f>
        <v>0.223</v>
      </c>
      <c r="H9" s="10">
        <v>4.4999999999999998E-2</v>
      </c>
      <c r="I9" s="10">
        <v>6.8000000000000005E-2</v>
      </c>
      <c r="J9" s="10">
        <v>-0.19400000000000001</v>
      </c>
      <c r="K9" s="10">
        <v>0.223</v>
      </c>
      <c r="L9" s="11" t="str">
        <f t="shared" si="0"/>
        <v>✓</v>
      </c>
    </row>
    <row r="10" spans="1:12" x14ac:dyDescent="0.35">
      <c r="A10" s="7" t="s">
        <v>232</v>
      </c>
      <c r="B10" s="8">
        <f>COUNT(Dataset!$K$2:$K$181)</f>
        <v>180</v>
      </c>
      <c r="C10" s="9">
        <f>AVERAGE(Dataset!$K$2:$K$181)</f>
        <v>1.1986199999999994</v>
      </c>
      <c r="D10" s="9">
        <f>STDEV(Dataset!$K$2:$K$181)</f>
        <v>0.41260005434944291</v>
      </c>
      <c r="E10" s="9">
        <f>MIN(Dataset!$K$2:$K$181)</f>
        <v>0.2</v>
      </c>
      <c r="F10" s="9">
        <f>MAX(Dataset!$K$2:$K$181)</f>
        <v>2.2410000000000001</v>
      </c>
      <c r="H10" s="10">
        <v>1.1990000000000001</v>
      </c>
      <c r="I10" s="10">
        <v>0.41299999999999998</v>
      </c>
      <c r="J10" s="10">
        <v>0.2</v>
      </c>
      <c r="K10" s="10">
        <v>2.2410000000000001</v>
      </c>
      <c r="L10" s="11" t="str">
        <f t="shared" si="0"/>
        <v>✓</v>
      </c>
    </row>
    <row r="11" spans="1:12" x14ac:dyDescent="0.35">
      <c r="A11" s="7" t="s">
        <v>235</v>
      </c>
      <c r="B11" s="8">
        <f>COUNT(Dataset!$L$2:$L$181)</f>
        <v>180</v>
      </c>
      <c r="C11" s="9">
        <f>AVERAGE(Dataset!$L$2:$L$181)</f>
        <v>14.681274444444446</v>
      </c>
      <c r="D11" s="9">
        <f>STDEV(Dataset!$L$2:$L$181)</f>
        <v>1.2506005273499885</v>
      </c>
      <c r="E11" s="9">
        <f>MIN(Dataset!$L$2:$L$181)</f>
        <v>11.138999999999999</v>
      </c>
      <c r="F11" s="9">
        <f>MAX(Dataset!$L$2:$L$181)</f>
        <v>17.378</v>
      </c>
      <c r="H11" s="10">
        <v>14.680999999999999</v>
      </c>
      <c r="I11" s="10">
        <v>1.2509999999999999</v>
      </c>
      <c r="J11" s="10">
        <v>11.138999999999999</v>
      </c>
      <c r="K11" s="10">
        <v>17.378</v>
      </c>
      <c r="L11" s="11" t="str">
        <f t="shared" si="0"/>
        <v>✓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topLeftCell="A10" zoomScaleNormal="100" workbookViewId="0">
      <selection activeCell="A13" sqref="A13:XFD13"/>
    </sheetView>
  </sheetViews>
  <sheetFormatPr defaultColWidth="8.6328125" defaultRowHeight="14.5" x14ac:dyDescent="0.35"/>
  <cols>
    <col min="1" max="1" width="22" customWidth="1"/>
    <col min="2" max="2" width="11" customWidth="1"/>
    <col min="3" max="3" width="10" customWidth="1"/>
    <col min="4" max="4" width="13" customWidth="1"/>
    <col min="5" max="6" width="12" customWidth="1"/>
    <col min="7" max="7" width="11" customWidth="1"/>
    <col min="8" max="9" width="12" customWidth="1"/>
    <col min="10" max="10" width="10" customWidth="1"/>
    <col min="11" max="11" width="12" customWidth="1"/>
    <col min="12" max="12" width="11" customWidth="1"/>
    <col min="13" max="13" width="3" customWidth="1"/>
    <col min="14" max="15" width="11" customWidth="1"/>
    <col min="16" max="16" width="9" customWidth="1"/>
  </cols>
  <sheetData>
    <row r="1" spans="1:16" ht="16.5" x14ac:dyDescent="0.35">
      <c r="A1" s="4" t="s">
        <v>250</v>
      </c>
    </row>
    <row r="3" spans="1:16" ht="45" customHeight="1" x14ac:dyDescent="0.35">
      <c r="A3" s="1" t="s">
        <v>239</v>
      </c>
      <c r="B3" s="1" t="s">
        <v>251</v>
      </c>
      <c r="C3" s="1" t="s">
        <v>252</v>
      </c>
      <c r="D3" s="1" t="s">
        <v>253</v>
      </c>
      <c r="E3" s="1" t="s">
        <v>254</v>
      </c>
      <c r="F3" s="1" t="s">
        <v>255</v>
      </c>
      <c r="G3" s="1" t="s">
        <v>256</v>
      </c>
      <c r="H3" s="1" t="s">
        <v>257</v>
      </c>
      <c r="I3" s="1" t="s">
        <v>258</v>
      </c>
      <c r="J3" s="1" t="s">
        <v>259</v>
      </c>
      <c r="K3" s="1" t="s">
        <v>260</v>
      </c>
      <c r="L3" s="1" t="s">
        <v>261</v>
      </c>
      <c r="M3" s="1"/>
      <c r="N3" s="1" t="s">
        <v>262</v>
      </c>
      <c r="O3" s="1" t="s">
        <v>263</v>
      </c>
      <c r="P3" s="1" t="s">
        <v>264</v>
      </c>
    </row>
    <row r="4" spans="1:16" x14ac:dyDescent="0.35">
      <c r="A4" s="7" t="s">
        <v>216</v>
      </c>
      <c r="B4" s="8">
        <f>COUNTIF(Dataset!$B$2:$B$181,0)</f>
        <v>134</v>
      </c>
      <c r="C4" s="8">
        <f>COUNTIF(Dataset!$B$2:$B$181,1)</f>
        <v>46</v>
      </c>
      <c r="D4" s="9">
        <f>AVERAGEIF(Dataset!$B$2:$B$181,0,Dataset!$E$2:$E$181)</f>
        <v>1.5770432835820885</v>
      </c>
      <c r="E4" s="9">
        <f>SQRT(SUMPRODUCT((Dataset!$B$2:$B$181=0)*(Dataset!$E$2:$E$181-D4)^2)/(B4-1))</f>
        <v>0.49842592400623376</v>
      </c>
      <c r="F4" s="9">
        <f>AVERAGEIF(Dataset!$B$2:$B$181,1,Dataset!$E$2:$E$181)</f>
        <v>1.3913999999999997</v>
      </c>
      <c r="G4" s="9">
        <f>SQRT(SUMPRODUCT((Dataset!$B$2:$B$181=1)*(Dataset!$E$2:$E$181-F4)^2)/(C4-1))</f>
        <v>0.55544407379241267</v>
      </c>
      <c r="H4" s="9">
        <f t="shared" ref="H4:H11" si="0">D4-F4</f>
        <v>0.1856432835820887</v>
      </c>
      <c r="I4" s="9">
        <f t="shared" ref="I4:I11" si="1">H4/SQRT(E4^2/B4+G4^2/C4)</f>
        <v>2.0064141000419951</v>
      </c>
      <c r="J4" s="12">
        <f t="shared" ref="J4:J11" si="2">(E4^2/B4+G4^2/C4)^2/((E4^2/B4)^2/(B4-1)+(G4^2/C4)^2/(C4-1))</f>
        <v>71.468793006160922</v>
      </c>
      <c r="K4" s="13">
        <f t="shared" ref="K4:K11" si="3">TDIST(ABS(I4),J4,2)</f>
        <v>4.8621975779256164E-2</v>
      </c>
      <c r="L4" s="2" t="str">
        <f t="shared" ref="L4:L11" si="4">IF(K4&lt;0.05,"Yes","No")</f>
        <v>Yes</v>
      </c>
      <c r="N4" s="10">
        <v>2.0059999999999998</v>
      </c>
      <c r="O4" s="14" t="s">
        <v>265</v>
      </c>
      <c r="P4" s="11" t="str">
        <f t="shared" ref="P4:P11" si="5">IF(ROUND(I4,3)=N4,"✓","✗")</f>
        <v>✓</v>
      </c>
    </row>
    <row r="5" spans="1:16" x14ac:dyDescent="0.35">
      <c r="A5" s="7" t="s">
        <v>221</v>
      </c>
      <c r="B5" s="8">
        <f>COUNTIF(Dataset!$B$2:$B$181,0)</f>
        <v>134</v>
      </c>
      <c r="C5" s="8">
        <f>COUNTIF(Dataset!$B$2:$B$181,1)</f>
        <v>46</v>
      </c>
      <c r="D5" s="9">
        <f>AVERAGEIF(Dataset!$B$2:$B$181,0,Dataset!$F$2:$F$181)</f>
        <v>1.2145985074626864</v>
      </c>
      <c r="E5" s="9">
        <f>SQRT(SUMPRODUCT((Dataset!$B$2:$B$181=0)*(Dataset!$F$2:$F$181-D5)^2)/(B5-1))</f>
        <v>0.51405803305768794</v>
      </c>
      <c r="F5" s="9">
        <f>AVERAGEIF(Dataset!$B$2:$B$181,1,Dataset!$F$2:$F$181)</f>
        <v>0.89540217391304355</v>
      </c>
      <c r="G5" s="9">
        <f>SQRT(SUMPRODUCT((Dataset!$B$2:$B$181=1)*(Dataset!$F$2:$F$181-F5)^2)/(C5-1))</f>
        <v>0.46319375379070538</v>
      </c>
      <c r="H5" s="9">
        <f t="shared" si="0"/>
        <v>0.31919633354964283</v>
      </c>
      <c r="I5" s="9">
        <f t="shared" si="1"/>
        <v>3.9183178858282344</v>
      </c>
      <c r="J5" s="12">
        <f t="shared" si="2"/>
        <v>85.902302832962803</v>
      </c>
      <c r="K5" s="13">
        <f t="shared" si="3"/>
        <v>1.7970828447579445E-4</v>
      </c>
      <c r="L5" s="2" t="str">
        <f t="shared" si="4"/>
        <v>Yes</v>
      </c>
      <c r="N5" s="10">
        <v>3.9180000000000001</v>
      </c>
      <c r="O5" s="14" t="s">
        <v>266</v>
      </c>
      <c r="P5" s="11" t="str">
        <f t="shared" si="5"/>
        <v>✓</v>
      </c>
    </row>
    <row r="6" spans="1:16" x14ac:dyDescent="0.35">
      <c r="A6" s="7" t="s">
        <v>223</v>
      </c>
      <c r="B6" s="8">
        <f>COUNTIF(Dataset!$B$2:$B$181,0)</f>
        <v>134</v>
      </c>
      <c r="C6" s="8">
        <f>COUNTIF(Dataset!$B$2:$B$181,1)</f>
        <v>46</v>
      </c>
      <c r="D6" s="9">
        <f>AVERAGEIF(Dataset!$B$2:$B$181,0,Dataset!$G$2:$G$181)</f>
        <v>1.2176022388059702</v>
      </c>
      <c r="E6" s="9">
        <f>SQRT(SUMPRODUCT((Dataset!$B$2:$B$181=0)*(Dataset!$G$2:$G$181-D6)^2)/(B6-1))</f>
        <v>0.49237797044996218</v>
      </c>
      <c r="F6" s="9">
        <f>AVERAGEIF(Dataset!$B$2:$B$181,1,Dataset!$G$2:$G$181)</f>
        <v>1.6657586956521742</v>
      </c>
      <c r="G6" s="9">
        <f>SQRT(SUMPRODUCT((Dataset!$B$2:$B$181=1)*(Dataset!$G$2:$G$181-F6)^2)/(C6-1))</f>
        <v>0.59009226155316385</v>
      </c>
      <c r="H6" s="9">
        <f t="shared" si="0"/>
        <v>-0.44815645684620398</v>
      </c>
      <c r="I6" s="9">
        <f t="shared" si="1"/>
        <v>-4.6275571774914841</v>
      </c>
      <c r="J6" s="12">
        <f t="shared" si="2"/>
        <v>67.771344534921553</v>
      </c>
      <c r="K6" s="13">
        <f t="shared" si="3"/>
        <v>1.7470522298723457E-5</v>
      </c>
      <c r="L6" s="2" t="str">
        <f t="shared" si="4"/>
        <v>Yes</v>
      </c>
      <c r="N6" s="10">
        <v>-4.6280000000000001</v>
      </c>
      <c r="O6" s="14" t="s">
        <v>267</v>
      </c>
      <c r="P6" s="11" t="str">
        <f t="shared" si="5"/>
        <v>✓</v>
      </c>
    </row>
    <row r="7" spans="1:16" x14ac:dyDescent="0.35">
      <c r="A7" s="7" t="s">
        <v>226</v>
      </c>
      <c r="B7" s="8">
        <f>COUNTIF(Dataset!$B$2:$B$181,0)</f>
        <v>134</v>
      </c>
      <c r="C7" s="8">
        <f>COUNTIF(Dataset!$B$2:$B$181,1)</f>
        <v>46</v>
      </c>
      <c r="D7" s="9">
        <f>AVERAGEIF(Dataset!$B$2:$B$181,0,Dataset!$H$2:$H$181)</f>
        <v>4.9605955223880596</v>
      </c>
      <c r="E7" s="9">
        <f>SQRT(SUMPRODUCT((Dataset!$B$2:$B$181=0)*(Dataset!$H$2:$H$181-D7)^2)/(B7-1))</f>
        <v>3.40674509075206</v>
      </c>
      <c r="F7" s="9">
        <f>AVERAGEIF(Dataset!$B$2:$B$181,1,Dataset!$H$2:$H$181)</f>
        <v>2.8794086956521738</v>
      </c>
      <c r="G7" s="9">
        <f>SQRT(SUMPRODUCT((Dataset!$B$2:$B$181=1)*(Dataset!$H$2:$H$181-F7)^2)/(C7-1))</f>
        <v>2.5589588955776597</v>
      </c>
      <c r="H7" s="9">
        <f t="shared" si="0"/>
        <v>2.0811868267358857</v>
      </c>
      <c r="I7" s="9">
        <f t="shared" si="1"/>
        <v>4.3493716968431499</v>
      </c>
      <c r="J7" s="12">
        <f t="shared" si="2"/>
        <v>103.45814874212742</v>
      </c>
      <c r="K7" s="13">
        <f t="shared" si="3"/>
        <v>3.21869407733061E-5</v>
      </c>
      <c r="L7" s="2" t="str">
        <f t="shared" si="4"/>
        <v>Yes</v>
      </c>
      <c r="N7" s="10">
        <v>4.3490000000000002</v>
      </c>
      <c r="O7" s="14" t="s">
        <v>267</v>
      </c>
      <c r="P7" s="11" t="str">
        <f t="shared" si="5"/>
        <v>✓</v>
      </c>
    </row>
    <row r="8" spans="1:16" x14ac:dyDescent="0.35">
      <c r="A8" s="7" t="s">
        <v>8</v>
      </c>
      <c r="B8" s="8">
        <f>COUNTIF(Dataset!$B$2:$B$181,0)</f>
        <v>134</v>
      </c>
      <c r="C8" s="8">
        <f>COUNTIF(Dataset!$B$2:$B$181,1)</f>
        <v>46</v>
      </c>
      <c r="D8" s="9">
        <f>AVERAGEIF(Dataset!$B$2:$B$181,0,Dataset!$I$2:$I$181)</f>
        <v>5.6395522388059671E-2</v>
      </c>
      <c r="E8" s="9">
        <f>SQRT(SUMPRODUCT((Dataset!$B$2:$B$181=0)*(Dataset!$I$2:$I$181-D8)^2)/(B8-1))</f>
        <v>6.0242550927116792E-2</v>
      </c>
      <c r="F8" s="9">
        <f>AVERAGEIF(Dataset!$B$2:$B$181,1,Dataset!$I$2:$I$181)</f>
        <v>8.0652173913043463E-4</v>
      </c>
      <c r="G8" s="9">
        <f>SQRT(SUMPRODUCT((Dataset!$B$2:$B$181=1)*(Dataset!$I$2:$I$181-F8)^2)/(C8-1))</f>
        <v>5.5699500904103111E-2</v>
      </c>
      <c r="H8" s="9">
        <f t="shared" si="0"/>
        <v>5.5589000648929236E-2</v>
      </c>
      <c r="I8" s="9">
        <f t="shared" si="1"/>
        <v>5.7175460812070549</v>
      </c>
      <c r="J8" s="12">
        <f t="shared" si="2"/>
        <v>83.824003657622896</v>
      </c>
      <c r="K8" s="13">
        <f t="shared" si="3"/>
        <v>1.6531140832997427E-7</v>
      </c>
      <c r="L8" s="2" t="str">
        <f t="shared" si="4"/>
        <v>Yes</v>
      </c>
      <c r="N8" s="10">
        <v>5.718</v>
      </c>
      <c r="O8" s="14" t="s">
        <v>267</v>
      </c>
      <c r="P8" s="11" t="str">
        <f t="shared" si="5"/>
        <v>✓</v>
      </c>
    </row>
    <row r="9" spans="1:16" x14ac:dyDescent="0.35">
      <c r="A9" s="7" t="s">
        <v>230</v>
      </c>
      <c r="B9" s="8">
        <f>COUNTIF(Dataset!$B$2:$B$181,0)</f>
        <v>134</v>
      </c>
      <c r="C9" s="8">
        <f>COUNTIF(Dataset!$B$2:$B$181,1)</f>
        <v>46</v>
      </c>
      <c r="D9" s="9">
        <f>AVERAGEIF(Dataset!$B$2:$B$181,0,Dataset!$J$2:$J$181)</f>
        <v>6.5300746268656715E-2</v>
      </c>
      <c r="E9" s="9">
        <f>SQRT(SUMPRODUCT((Dataset!$B$2:$B$181=0)*(Dataset!$J$2:$J$181-D9)^2)/(B9-1))</f>
        <v>5.5415508396724718E-2</v>
      </c>
      <c r="F9" s="9">
        <f>AVERAGEIF(Dataset!$B$2:$B$181,1,Dataset!$J$2:$J$181)</f>
        <v>-1.4176086956521739E-2</v>
      </c>
      <c r="G9" s="9">
        <f>SQRT(SUMPRODUCT((Dataset!$B$2:$B$181=1)*(Dataset!$J$2:$J$181-F9)^2)/(C9-1))</f>
        <v>6.7576867129325355E-2</v>
      </c>
      <c r="H9" s="9">
        <f t="shared" si="0"/>
        <v>7.9476833225178456E-2</v>
      </c>
      <c r="I9" s="9">
        <f t="shared" si="1"/>
        <v>7.189849800992091</v>
      </c>
      <c r="J9" s="12">
        <f t="shared" si="2"/>
        <v>66.966600729870166</v>
      </c>
      <c r="K9" s="13">
        <f t="shared" si="3"/>
        <v>7.4375787547835128E-10</v>
      </c>
      <c r="L9" s="2" t="str">
        <f t="shared" si="4"/>
        <v>Yes</v>
      </c>
      <c r="N9" s="10">
        <v>7.19</v>
      </c>
      <c r="O9" s="14" t="s">
        <v>267</v>
      </c>
      <c r="P9" s="11" t="str">
        <f t="shared" si="5"/>
        <v>✓</v>
      </c>
    </row>
    <row r="10" spans="1:16" x14ac:dyDescent="0.35">
      <c r="A10" s="7" t="s">
        <v>232</v>
      </c>
      <c r="B10" s="8">
        <f>COUNTIF(Dataset!$B$2:$B$181,0)</f>
        <v>134</v>
      </c>
      <c r="C10" s="8">
        <f>COUNTIF(Dataset!$B$2:$B$181,1)</f>
        <v>46</v>
      </c>
      <c r="D10" s="9">
        <f>AVERAGEIF(Dataset!$B$2:$B$181,0,Dataset!$K$2:$K$181)</f>
        <v>1.2714022388059696</v>
      </c>
      <c r="E10" s="9">
        <f>SQRT(SUMPRODUCT((Dataset!$B$2:$B$181=0)*(Dataset!$K$2:$K$181-D10)^2)/(B10-1))</f>
        <v>0.40548617666775555</v>
      </c>
      <c r="F10" s="9">
        <f>AVERAGEIF(Dataset!$B$2:$B$181,1,Dataset!$K$2:$K$181)</f>
        <v>0.98660217391304328</v>
      </c>
      <c r="G10" s="9">
        <f>SQRT(SUMPRODUCT((Dataset!$B$2:$B$181=1)*(Dataset!$K$2:$K$181-F10)^2)/(C10-1))</f>
        <v>0.3598583069852358</v>
      </c>
      <c r="H10" s="9">
        <f t="shared" si="0"/>
        <v>0.28480006489292631</v>
      </c>
      <c r="I10" s="9">
        <f t="shared" si="1"/>
        <v>4.4795271013511551</v>
      </c>
      <c r="J10" s="12">
        <f t="shared" si="2"/>
        <v>87.172534157874438</v>
      </c>
      <c r="K10" s="13">
        <f t="shared" si="3"/>
        <v>2.2628385105312607E-5</v>
      </c>
      <c r="L10" s="2" t="str">
        <f t="shared" si="4"/>
        <v>Yes</v>
      </c>
      <c r="N10" s="10">
        <v>4.4800000000000004</v>
      </c>
      <c r="O10" s="14" t="s">
        <v>267</v>
      </c>
      <c r="P10" s="11" t="str">
        <f t="shared" si="5"/>
        <v>✓</v>
      </c>
    </row>
    <row r="11" spans="1:16" x14ac:dyDescent="0.35">
      <c r="A11" s="7" t="s">
        <v>235</v>
      </c>
      <c r="B11" s="8">
        <f>COUNTIF(Dataset!$B$2:$B$181,0)</f>
        <v>134</v>
      </c>
      <c r="C11" s="8">
        <f>COUNTIF(Dataset!$B$2:$B$181,1)</f>
        <v>46</v>
      </c>
      <c r="D11" s="9">
        <f>AVERAGEIF(Dataset!$B$2:$B$181,0,Dataset!$L$2:$L$181)</f>
        <v>14.781400746268654</v>
      </c>
      <c r="E11" s="9">
        <f>SQRT(SUMPRODUCT((Dataset!$B$2:$B$181=0)*(Dataset!$L$2:$L$181-D11)^2)/(B11-1))</f>
        <v>1.2384270798495574</v>
      </c>
      <c r="F11" s="9">
        <f>AVERAGEIF(Dataset!$B$2:$B$181,1,Dataset!$L$2:$L$181)</f>
        <v>14.38960217391304</v>
      </c>
      <c r="G11" s="9">
        <f>SQRT(SUMPRODUCT((Dataset!$B$2:$B$181=1)*(Dataset!$L$2:$L$181-F11)^2)/(C11-1))</f>
        <v>1.2535926294701305</v>
      </c>
      <c r="H11" s="9">
        <f t="shared" si="0"/>
        <v>0.39179857235561322</v>
      </c>
      <c r="I11" s="9">
        <f t="shared" si="1"/>
        <v>1.8345947834280036</v>
      </c>
      <c r="J11" s="12">
        <f t="shared" si="2"/>
        <v>77.269023045546788</v>
      </c>
      <c r="K11" s="13">
        <f t="shared" si="3"/>
        <v>7.0428339544518603E-2</v>
      </c>
      <c r="L11" s="2" t="str">
        <f t="shared" si="4"/>
        <v>No</v>
      </c>
      <c r="N11" s="10">
        <v>1.835</v>
      </c>
      <c r="O11" s="14" t="s">
        <v>268</v>
      </c>
      <c r="P11" s="11" t="str">
        <f t="shared" si="5"/>
        <v>✓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opLeftCell="A28" zoomScaleNormal="100" workbookViewId="0"/>
  </sheetViews>
  <sheetFormatPr defaultColWidth="8.6328125" defaultRowHeight="14.5" x14ac:dyDescent="0.35"/>
  <cols>
    <col min="1" max="1" width="22" customWidth="1"/>
    <col min="2" max="9" width="14" customWidth="1"/>
  </cols>
  <sheetData>
    <row r="1" spans="1:9" ht="16.5" x14ac:dyDescent="0.35">
      <c r="A1" s="4" t="s">
        <v>269</v>
      </c>
    </row>
    <row r="3" spans="1:9" ht="31.5" customHeight="1" x14ac:dyDescent="0.35">
      <c r="A3" s="1"/>
      <c r="B3" s="1" t="s">
        <v>216</v>
      </c>
      <c r="C3" s="1" t="s">
        <v>221</v>
      </c>
      <c r="D3" s="1" t="s">
        <v>223</v>
      </c>
      <c r="E3" s="1" t="s">
        <v>226</v>
      </c>
      <c r="F3" s="1" t="s">
        <v>8</v>
      </c>
      <c r="G3" s="1" t="s">
        <v>230</v>
      </c>
      <c r="H3" s="1" t="s">
        <v>232</v>
      </c>
      <c r="I3" s="1" t="s">
        <v>235</v>
      </c>
    </row>
    <row r="4" spans="1:9" x14ac:dyDescent="0.35">
      <c r="A4" s="7" t="s">
        <v>216</v>
      </c>
      <c r="B4" s="12">
        <f>CORREL(Dataset!$E$2:$E$181,Dataset!$E$2:$E$181)</f>
        <v>1</v>
      </c>
      <c r="C4" s="12">
        <f>CORREL(Dataset!$E$2:$E$181,Dataset!$F$2:$F$181)</f>
        <v>9.4003151009044952E-2</v>
      </c>
      <c r="D4" s="12">
        <f>CORREL(Dataset!$E$2:$E$181,Dataset!$G$2:$G$181)</f>
        <v>-0.1333363156204149</v>
      </c>
      <c r="E4" s="12">
        <f>CORREL(Dataset!$E$2:$E$181,Dataset!$H$2:$H$181)</f>
        <v>0.12077699711041058</v>
      </c>
      <c r="F4" s="12">
        <f>CORREL(Dataset!$E$2:$E$181,Dataset!$I$2:$I$181)</f>
        <v>0.10406948251035603</v>
      </c>
      <c r="G4" s="12">
        <f>CORREL(Dataset!$E$2:$E$181,Dataset!$J$2:$J$181)</f>
        <v>9.5986409028705644E-2</v>
      </c>
      <c r="H4" s="12">
        <f>CORREL(Dataset!$E$2:$E$181,Dataset!$K$2:$K$181)</f>
        <v>6.2882808062018403E-2</v>
      </c>
      <c r="I4" s="12">
        <f>CORREL(Dataset!$E$2:$E$181,Dataset!$L$2:$L$181)</f>
        <v>4.3986155136110941E-2</v>
      </c>
    </row>
    <row r="5" spans="1:9" x14ac:dyDescent="0.35">
      <c r="A5" s="7" t="s">
        <v>221</v>
      </c>
      <c r="B5" s="12">
        <f>CORREL(Dataset!$F$2:$F$181,Dataset!$E$2:$E$181)</f>
        <v>9.4003151009044952E-2</v>
      </c>
      <c r="C5" s="12">
        <f>CORREL(Dataset!$F$2:$F$181,Dataset!$F$2:$F$181)</f>
        <v>0.99999999999999978</v>
      </c>
      <c r="D5" s="12">
        <f>CORREL(Dataset!$F$2:$F$181,Dataset!$G$2:$G$181)</f>
        <v>-7.3909762930756448E-2</v>
      </c>
      <c r="E5" s="12">
        <f>CORREL(Dataset!$F$2:$F$181,Dataset!$H$2:$H$181)</f>
        <v>4.9249837251720344E-2</v>
      </c>
      <c r="F5" s="12">
        <f>CORREL(Dataset!$F$2:$F$181,Dataset!$I$2:$I$181)</f>
        <v>0.19006005041667831</v>
      </c>
      <c r="G5" s="12">
        <f>CORREL(Dataset!$F$2:$F$181,Dataset!$J$2:$J$181)</f>
        <v>9.8603999994462857E-2</v>
      </c>
      <c r="H5" s="12">
        <f>CORREL(Dataset!$F$2:$F$181,Dataset!$K$2:$K$181)</f>
        <v>9.625427077663308E-2</v>
      </c>
      <c r="I5" s="12">
        <f>CORREL(Dataset!$F$2:$F$181,Dataset!$L$2:$L$181)</f>
        <v>6.9903102443103207E-3</v>
      </c>
    </row>
    <row r="6" spans="1:9" x14ac:dyDescent="0.35">
      <c r="A6" s="7" t="s">
        <v>223</v>
      </c>
      <c r="B6" s="12">
        <f>CORREL(Dataset!$G$2:$G$181,Dataset!$E$2:$E$181)</f>
        <v>-0.1333363156204149</v>
      </c>
      <c r="C6" s="12">
        <f>CORREL(Dataset!$G$2:$G$181,Dataset!$F$2:$F$181)</f>
        <v>-7.3909762930756448E-2</v>
      </c>
      <c r="D6" s="12">
        <f>CORREL(Dataset!$G$2:$G$181,Dataset!$G$2:$G$181)</f>
        <v>0.99999999999999978</v>
      </c>
      <c r="E6" s="12">
        <f>CORREL(Dataset!$G$2:$G$181,Dataset!$H$2:$H$181)</f>
        <v>-0.19651297453730696</v>
      </c>
      <c r="F6" s="12">
        <f>CORREL(Dataset!$G$2:$G$181,Dataset!$I$2:$I$181)</f>
        <v>-0.2260706037207223</v>
      </c>
      <c r="G6" s="12">
        <f>CORREL(Dataset!$G$2:$G$181,Dataset!$J$2:$J$181)</f>
        <v>-0.22967631969408034</v>
      </c>
      <c r="H6" s="12">
        <f>CORREL(Dataset!$G$2:$G$181,Dataset!$K$2:$K$181)</f>
        <v>-0.10762992522676929</v>
      </c>
      <c r="I6" s="12">
        <f>CORREL(Dataset!$G$2:$G$181,Dataset!$L$2:$L$181)</f>
        <v>-0.12329761941056792</v>
      </c>
    </row>
    <row r="7" spans="1:9" x14ac:dyDescent="0.35">
      <c r="A7" s="7" t="s">
        <v>226</v>
      </c>
      <c r="B7" s="12">
        <f>CORREL(Dataset!$H$2:$H$181,Dataset!$E$2:$E$181)</f>
        <v>0.12077699711041058</v>
      </c>
      <c r="C7" s="12">
        <f>CORREL(Dataset!$H$2:$H$181,Dataset!$F$2:$F$181)</f>
        <v>4.9249837251720344E-2</v>
      </c>
      <c r="D7" s="12">
        <f>CORREL(Dataset!$H$2:$H$181,Dataset!$G$2:$G$181)</f>
        <v>-0.19651297453730696</v>
      </c>
      <c r="E7" s="12">
        <f>CORREL(Dataset!$H$2:$H$181,Dataset!$H$2:$H$181)</f>
        <v>1</v>
      </c>
      <c r="F7" s="12">
        <f>CORREL(Dataset!$H$2:$H$181,Dataset!$I$2:$I$181)</f>
        <v>0.17727628334872964</v>
      </c>
      <c r="G7" s="12">
        <f>CORREL(Dataset!$H$2:$H$181,Dataset!$J$2:$J$181)</f>
        <v>0.13056444385081314</v>
      </c>
      <c r="H7" s="12">
        <f>CORREL(Dataset!$H$2:$H$181,Dataset!$K$2:$K$181)</f>
        <v>2.8040185573156365E-2</v>
      </c>
      <c r="I7" s="12">
        <f>CORREL(Dataset!$H$2:$H$181,Dataset!$L$2:$L$181)</f>
        <v>0.17399898257280536</v>
      </c>
    </row>
    <row r="8" spans="1:9" x14ac:dyDescent="0.35">
      <c r="A8" s="7" t="s">
        <v>8</v>
      </c>
      <c r="B8" s="12">
        <f>CORREL(Dataset!$I$2:$I$181,Dataset!$E$2:$E$181)</f>
        <v>0.10406948251035603</v>
      </c>
      <c r="C8" s="12">
        <f>CORREL(Dataset!$I$2:$I$181,Dataset!$F$2:$F$181)</f>
        <v>0.19006005041667831</v>
      </c>
      <c r="D8" s="12">
        <f>CORREL(Dataset!$I$2:$I$181,Dataset!$G$2:$G$181)</f>
        <v>-0.2260706037207223</v>
      </c>
      <c r="E8" s="12">
        <f>CORREL(Dataset!$I$2:$I$181,Dataset!$H$2:$H$181)</f>
        <v>0.17727628334872964</v>
      </c>
      <c r="F8" s="12">
        <f>CORREL(Dataset!$I$2:$I$181,Dataset!$I$2:$I$181)</f>
        <v>1</v>
      </c>
      <c r="G8" s="12">
        <f>CORREL(Dataset!$I$2:$I$181,Dataset!$J$2:$J$181)</f>
        <v>0.1469625236194638</v>
      </c>
      <c r="H8" s="12">
        <f>CORREL(Dataset!$I$2:$I$181,Dataset!$K$2:$K$181)</f>
        <v>0.11006786255289731</v>
      </c>
      <c r="I8" s="12">
        <f>CORREL(Dataset!$I$2:$I$181,Dataset!$L$2:$L$181)</f>
        <v>7.7255234447790685E-2</v>
      </c>
    </row>
    <row r="9" spans="1:9" x14ac:dyDescent="0.35">
      <c r="A9" s="7" t="s">
        <v>230</v>
      </c>
      <c r="B9" s="12">
        <f>CORREL(Dataset!$J$2:$J$181,Dataset!$E$2:$E$181)</f>
        <v>9.5986409028705644E-2</v>
      </c>
      <c r="C9" s="12">
        <f>CORREL(Dataset!$J$2:$J$181,Dataset!$F$2:$F$181)</f>
        <v>9.8603999994462857E-2</v>
      </c>
      <c r="D9" s="12">
        <f>CORREL(Dataset!$J$2:$J$181,Dataset!$G$2:$G$181)</f>
        <v>-0.22967631969408034</v>
      </c>
      <c r="E9" s="12">
        <f>CORREL(Dataset!$J$2:$J$181,Dataset!$H$2:$H$181)</f>
        <v>0.13056444385081314</v>
      </c>
      <c r="F9" s="12">
        <f>CORREL(Dataset!$J$2:$J$181,Dataset!$I$2:$I$181)</f>
        <v>0.1469625236194638</v>
      </c>
      <c r="G9" s="12">
        <f>CORREL(Dataset!$J$2:$J$181,Dataset!$J$2:$J$181)</f>
        <v>1</v>
      </c>
      <c r="H9" s="12">
        <f>CORREL(Dataset!$J$2:$J$181,Dataset!$K$2:$K$181)</f>
        <v>8.9792663638696493E-2</v>
      </c>
      <c r="I9" s="12">
        <f>CORREL(Dataset!$J$2:$J$181,Dataset!$L$2:$L$181)</f>
        <v>0.15782686555712952</v>
      </c>
    </row>
    <row r="10" spans="1:9" x14ac:dyDescent="0.35">
      <c r="A10" s="7" t="s">
        <v>232</v>
      </c>
      <c r="B10" s="12">
        <f>CORREL(Dataset!$K$2:$K$181,Dataset!$E$2:$E$181)</f>
        <v>6.2882808062018403E-2</v>
      </c>
      <c r="C10" s="12">
        <f>CORREL(Dataset!$K$2:$K$181,Dataset!$F$2:$F$181)</f>
        <v>9.625427077663308E-2</v>
      </c>
      <c r="D10" s="12">
        <f>CORREL(Dataset!$K$2:$K$181,Dataset!$G$2:$G$181)</f>
        <v>-0.10762992522676929</v>
      </c>
      <c r="E10" s="12">
        <f>CORREL(Dataset!$K$2:$K$181,Dataset!$H$2:$H$181)</f>
        <v>2.8040185573156365E-2</v>
      </c>
      <c r="F10" s="12">
        <f>CORREL(Dataset!$K$2:$K$181,Dataset!$I$2:$I$181)</f>
        <v>0.11006786255289731</v>
      </c>
      <c r="G10" s="12">
        <f>CORREL(Dataset!$K$2:$K$181,Dataset!$J$2:$J$181)</f>
        <v>8.9792663638696493E-2</v>
      </c>
      <c r="H10" s="12">
        <f>CORREL(Dataset!$K$2:$K$181,Dataset!$K$2:$K$181)</f>
        <v>1</v>
      </c>
      <c r="I10" s="12">
        <f>CORREL(Dataset!$K$2:$K$181,Dataset!$L$2:$L$181)</f>
        <v>4.2687246807831404E-2</v>
      </c>
    </row>
    <row r="11" spans="1:9" x14ac:dyDescent="0.35">
      <c r="A11" s="7" t="s">
        <v>235</v>
      </c>
      <c r="B11" s="12">
        <f>CORREL(Dataset!$L$2:$L$181,Dataset!$E$2:$E$181)</f>
        <v>4.3986155136110941E-2</v>
      </c>
      <c r="C11" s="12">
        <f>CORREL(Dataset!$L$2:$L$181,Dataset!$F$2:$F$181)</f>
        <v>6.9903102443103207E-3</v>
      </c>
      <c r="D11" s="12">
        <f>CORREL(Dataset!$L$2:$L$181,Dataset!$G$2:$G$181)</f>
        <v>-0.12329761941056792</v>
      </c>
      <c r="E11" s="12">
        <f>CORREL(Dataset!$L$2:$L$181,Dataset!$H$2:$H$181)</f>
        <v>0.17399898257280536</v>
      </c>
      <c r="F11" s="12">
        <f>CORREL(Dataset!$L$2:$L$181,Dataset!$I$2:$I$181)</f>
        <v>7.7255234447790685E-2</v>
      </c>
      <c r="G11" s="12">
        <f>CORREL(Dataset!$L$2:$L$181,Dataset!$J$2:$J$181)</f>
        <v>0.15782686555712952</v>
      </c>
      <c r="H11" s="12">
        <f>CORREL(Dataset!$L$2:$L$181,Dataset!$K$2:$K$181)</f>
        <v>4.2687246807831404E-2</v>
      </c>
      <c r="I11" s="12">
        <f>CORREL(Dataset!$L$2:$L$181,Dataset!$L$2:$L$181)</f>
        <v>1</v>
      </c>
    </row>
    <row r="13" spans="1:9" x14ac:dyDescent="0.35">
      <c r="A13" s="15" t="s">
        <v>270</v>
      </c>
    </row>
    <row r="14" spans="1:9" ht="31.5" customHeight="1" x14ac:dyDescent="0.35">
      <c r="A14" s="1"/>
      <c r="B14" s="1" t="s">
        <v>216</v>
      </c>
      <c r="C14" s="1" t="s">
        <v>221</v>
      </c>
      <c r="D14" s="1" t="s">
        <v>223</v>
      </c>
      <c r="E14" s="1" t="s">
        <v>226</v>
      </c>
      <c r="F14" s="1" t="s">
        <v>8</v>
      </c>
      <c r="G14" s="1" t="s">
        <v>230</v>
      </c>
      <c r="H14" s="1" t="s">
        <v>232</v>
      </c>
      <c r="I14" s="1" t="s">
        <v>235</v>
      </c>
    </row>
    <row r="15" spans="1:9" x14ac:dyDescent="0.35">
      <c r="A15" s="7" t="s">
        <v>216</v>
      </c>
      <c r="B15" s="16">
        <v>1</v>
      </c>
      <c r="C15" s="16">
        <v>0.09</v>
      </c>
      <c r="D15" s="16">
        <v>-0.13</v>
      </c>
      <c r="E15" s="16">
        <v>0.12</v>
      </c>
      <c r="F15" s="16">
        <v>0.1</v>
      </c>
      <c r="G15" s="16">
        <v>0.1</v>
      </c>
      <c r="H15" s="16">
        <v>0.06</v>
      </c>
      <c r="I15" s="16">
        <v>0.04</v>
      </c>
    </row>
    <row r="16" spans="1:9" x14ac:dyDescent="0.35">
      <c r="A16" s="7" t="s">
        <v>221</v>
      </c>
      <c r="B16" s="16">
        <v>0.09</v>
      </c>
      <c r="C16" s="16">
        <v>1</v>
      </c>
      <c r="D16" s="16">
        <v>-7.0000000000000007E-2</v>
      </c>
      <c r="E16" s="16">
        <v>0.05</v>
      </c>
      <c r="F16" s="16">
        <v>0.19</v>
      </c>
      <c r="G16" s="16">
        <v>0.1</v>
      </c>
      <c r="H16" s="16">
        <v>0.1</v>
      </c>
      <c r="I16" s="16">
        <v>0.01</v>
      </c>
    </row>
    <row r="17" spans="1:9" x14ac:dyDescent="0.35">
      <c r="A17" s="7" t="s">
        <v>223</v>
      </c>
      <c r="B17" s="16">
        <v>-0.13</v>
      </c>
      <c r="C17" s="16">
        <v>-7.0000000000000007E-2</v>
      </c>
      <c r="D17" s="16">
        <v>1</v>
      </c>
      <c r="E17" s="16">
        <v>-0.2</v>
      </c>
      <c r="F17" s="16">
        <v>-0.23</v>
      </c>
      <c r="G17" s="16">
        <v>-0.23</v>
      </c>
      <c r="H17" s="16">
        <v>-0.11</v>
      </c>
      <c r="I17" s="16">
        <v>-0.12</v>
      </c>
    </row>
    <row r="18" spans="1:9" x14ac:dyDescent="0.35">
      <c r="A18" s="7" t="s">
        <v>226</v>
      </c>
      <c r="B18" s="16">
        <v>0.12</v>
      </c>
      <c r="C18" s="16">
        <v>0.05</v>
      </c>
      <c r="D18" s="16">
        <v>-0.2</v>
      </c>
      <c r="E18" s="16">
        <v>1</v>
      </c>
      <c r="F18" s="16">
        <v>0.18</v>
      </c>
      <c r="G18" s="16">
        <v>0.13</v>
      </c>
      <c r="H18" s="16">
        <v>0.03</v>
      </c>
      <c r="I18" s="16">
        <v>0.17</v>
      </c>
    </row>
    <row r="19" spans="1:9" x14ac:dyDescent="0.35">
      <c r="A19" s="7" t="s">
        <v>8</v>
      </c>
      <c r="B19" s="16">
        <v>0.1</v>
      </c>
      <c r="C19" s="16">
        <v>0.19</v>
      </c>
      <c r="D19" s="16">
        <v>-0.23</v>
      </c>
      <c r="E19" s="16">
        <v>0.18</v>
      </c>
      <c r="F19" s="16">
        <v>1</v>
      </c>
      <c r="G19" s="16">
        <v>0.15</v>
      </c>
      <c r="H19" s="16">
        <v>0.11</v>
      </c>
      <c r="I19" s="16">
        <v>0.08</v>
      </c>
    </row>
    <row r="20" spans="1:9" x14ac:dyDescent="0.35">
      <c r="A20" s="7" t="s">
        <v>230</v>
      </c>
      <c r="B20" s="16">
        <v>0.1</v>
      </c>
      <c r="C20" s="16">
        <v>0.1</v>
      </c>
      <c r="D20" s="16">
        <v>-0.23</v>
      </c>
      <c r="E20" s="16">
        <v>0.13</v>
      </c>
      <c r="F20" s="16">
        <v>0.15</v>
      </c>
      <c r="G20" s="16">
        <v>1</v>
      </c>
      <c r="H20" s="16">
        <v>0.09</v>
      </c>
      <c r="I20" s="16">
        <v>0.16</v>
      </c>
    </row>
    <row r="21" spans="1:9" x14ac:dyDescent="0.35">
      <c r="A21" s="7" t="s">
        <v>232</v>
      </c>
      <c r="B21" s="16">
        <v>0.06</v>
      </c>
      <c r="C21" s="16">
        <v>0.1</v>
      </c>
      <c r="D21" s="16">
        <v>-0.11</v>
      </c>
      <c r="E21" s="16">
        <v>0.03</v>
      </c>
      <c r="F21" s="16">
        <v>0.11</v>
      </c>
      <c r="G21" s="16">
        <v>0.09</v>
      </c>
      <c r="H21" s="16">
        <v>1</v>
      </c>
      <c r="I21" s="16">
        <v>0.04</v>
      </c>
    </row>
    <row r="22" spans="1:9" x14ac:dyDescent="0.35">
      <c r="A22" s="7" t="s">
        <v>235</v>
      </c>
      <c r="B22" s="16">
        <v>0.04</v>
      </c>
      <c r="C22" s="16">
        <v>0.01</v>
      </c>
      <c r="D22" s="16">
        <v>-0.12</v>
      </c>
      <c r="E22" s="16">
        <v>0.17</v>
      </c>
      <c r="F22" s="16">
        <v>0.08</v>
      </c>
      <c r="G22" s="16">
        <v>0.16</v>
      </c>
      <c r="H22" s="16">
        <v>0.04</v>
      </c>
      <c r="I22" s="16">
        <v>1</v>
      </c>
    </row>
    <row r="24" spans="1:9" x14ac:dyDescent="0.35">
      <c r="A24" s="7" t="s">
        <v>271</v>
      </c>
      <c r="B24" s="11" t="str">
        <f>IF(SUMPRODUCT(--(ROUND(B4:I11,2)&lt;&gt;B15:I22))=0,"✓","✗")</f>
        <v>✓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zoomScaleNormal="100" workbookViewId="0">
      <pane ySplit="3" topLeftCell="A61" activePane="bottomLeft" state="frozen"/>
      <selection pane="bottomLeft"/>
    </sheetView>
  </sheetViews>
  <sheetFormatPr defaultColWidth="8.6328125" defaultRowHeight="14.5" x14ac:dyDescent="0.35"/>
  <cols>
    <col min="1" max="2" width="10" customWidth="1"/>
    <col min="3" max="3" width="16" customWidth="1"/>
    <col min="4" max="4" width="11" customWidth="1"/>
    <col min="5" max="5" width="16" customWidth="1"/>
    <col min="6" max="6" width="11" customWidth="1"/>
    <col min="7" max="7" width="16" customWidth="1"/>
    <col min="8" max="8" width="11" customWidth="1"/>
  </cols>
  <sheetData>
    <row r="1" spans="1:8" ht="16.5" x14ac:dyDescent="0.35">
      <c r="A1" s="4" t="s">
        <v>272</v>
      </c>
    </row>
    <row r="3" spans="1:8" ht="45" customHeight="1" x14ac:dyDescent="0.35">
      <c r="A3" s="1" t="s">
        <v>0</v>
      </c>
      <c r="B3" s="1" t="s">
        <v>273</v>
      </c>
      <c r="C3" s="1" t="s">
        <v>274</v>
      </c>
      <c r="D3" s="1" t="s">
        <v>275</v>
      </c>
      <c r="E3" s="1" t="s">
        <v>276</v>
      </c>
      <c r="F3" s="1" t="s">
        <v>277</v>
      </c>
      <c r="G3" s="1" t="s">
        <v>278</v>
      </c>
      <c r="H3" s="1" t="s">
        <v>279</v>
      </c>
    </row>
    <row r="4" spans="1:8" x14ac:dyDescent="0.35">
      <c r="A4" s="2" t="s">
        <v>20</v>
      </c>
      <c r="B4" s="8">
        <f>INDEX(Dataset!$B$2:$B$181,MATCH(A4,Dataset!$A$2:$A$181,0))</f>
        <v>0</v>
      </c>
      <c r="C4" s="3">
        <v>1.37E-2</v>
      </c>
      <c r="D4" s="8">
        <f t="shared" ref="D4:D35" si="0">IF(C4&gt;=0.5,1,0)</f>
        <v>0</v>
      </c>
      <c r="E4" s="3">
        <v>5.0000000000000001E-3</v>
      </c>
      <c r="F4" s="8">
        <f t="shared" ref="F4:F35" si="1">IF(E4&gt;=0.5,1,0)</f>
        <v>0</v>
      </c>
      <c r="G4" s="3">
        <v>2.24E-2</v>
      </c>
      <c r="H4" s="8">
        <f t="shared" ref="H4:H35" si="2">IF(G4&gt;=0.5,1,0)</f>
        <v>0</v>
      </c>
    </row>
    <row r="5" spans="1:8" x14ac:dyDescent="0.35">
      <c r="A5" s="2" t="s">
        <v>22</v>
      </c>
      <c r="B5" s="8">
        <f>INDEX(Dataset!$B$2:$B$181,MATCH(A5,Dataset!$A$2:$A$181,0))</f>
        <v>0</v>
      </c>
      <c r="C5" s="3">
        <v>3.4700000000000002E-2</v>
      </c>
      <c r="D5" s="8">
        <f t="shared" si="0"/>
        <v>0</v>
      </c>
      <c r="E5" s="3">
        <v>9.5000000000000001E-2</v>
      </c>
      <c r="F5" s="8">
        <f t="shared" si="1"/>
        <v>0</v>
      </c>
      <c r="G5" s="3">
        <v>4.4499999999999998E-2</v>
      </c>
      <c r="H5" s="8">
        <f t="shared" si="2"/>
        <v>0</v>
      </c>
    </row>
    <row r="6" spans="1:8" x14ac:dyDescent="0.35">
      <c r="A6" s="2" t="s">
        <v>26</v>
      </c>
      <c r="B6" s="8">
        <f>INDEX(Dataset!$B$2:$B$181,MATCH(A6,Dataset!$A$2:$A$181,0))</f>
        <v>1</v>
      </c>
      <c r="C6" s="3">
        <v>0.97430000000000005</v>
      </c>
      <c r="D6" s="8">
        <f t="shared" si="0"/>
        <v>1</v>
      </c>
      <c r="E6" s="3">
        <v>0.6</v>
      </c>
      <c r="F6" s="8">
        <f t="shared" si="1"/>
        <v>1</v>
      </c>
      <c r="G6" s="3">
        <v>0.92749999999999999</v>
      </c>
      <c r="H6" s="8">
        <f t="shared" si="2"/>
        <v>1</v>
      </c>
    </row>
    <row r="7" spans="1:8" x14ac:dyDescent="0.35">
      <c r="A7" s="2" t="s">
        <v>30</v>
      </c>
      <c r="B7" s="8">
        <f>INDEX(Dataset!$B$2:$B$181,MATCH(A7,Dataset!$A$2:$A$181,0))</f>
        <v>0</v>
      </c>
      <c r="C7" s="3">
        <v>0.63119999999999998</v>
      </c>
      <c r="D7" s="8">
        <f t="shared" si="0"/>
        <v>1</v>
      </c>
      <c r="E7" s="3">
        <v>0.47</v>
      </c>
      <c r="F7" s="8">
        <f t="shared" si="1"/>
        <v>0</v>
      </c>
      <c r="G7" s="3">
        <v>0.495</v>
      </c>
      <c r="H7" s="8">
        <f t="shared" si="2"/>
        <v>0</v>
      </c>
    </row>
    <row r="8" spans="1:8" x14ac:dyDescent="0.35">
      <c r="A8" s="2" t="s">
        <v>33</v>
      </c>
      <c r="B8" s="8">
        <f>INDEX(Dataset!$B$2:$B$181,MATCH(A8,Dataset!$A$2:$A$181,0))</f>
        <v>0</v>
      </c>
      <c r="C8" s="3">
        <v>5.3400000000000003E-2</v>
      </c>
      <c r="D8" s="8">
        <f t="shared" si="0"/>
        <v>0</v>
      </c>
      <c r="E8" s="3">
        <v>0.13</v>
      </c>
      <c r="F8" s="8">
        <f t="shared" si="1"/>
        <v>0</v>
      </c>
      <c r="G8" s="3">
        <v>7.4399999999999994E-2</v>
      </c>
      <c r="H8" s="8">
        <f t="shared" si="2"/>
        <v>0</v>
      </c>
    </row>
    <row r="9" spans="1:8" x14ac:dyDescent="0.35">
      <c r="A9" s="2" t="s">
        <v>35</v>
      </c>
      <c r="B9" s="8">
        <f>INDEX(Dataset!$B$2:$B$181,MATCH(A9,Dataset!$A$2:$A$181,0))</f>
        <v>0</v>
      </c>
      <c r="C9" s="3">
        <v>0.1855</v>
      </c>
      <c r="D9" s="8">
        <f t="shared" si="0"/>
        <v>0</v>
      </c>
      <c r="E9" s="3">
        <v>0.23499999999999999</v>
      </c>
      <c r="F9" s="8">
        <f t="shared" si="1"/>
        <v>0</v>
      </c>
      <c r="G9" s="3">
        <v>0.19309999999999999</v>
      </c>
      <c r="H9" s="8">
        <f t="shared" si="2"/>
        <v>0</v>
      </c>
    </row>
    <row r="10" spans="1:8" x14ac:dyDescent="0.35">
      <c r="A10" s="2" t="s">
        <v>38</v>
      </c>
      <c r="B10" s="8">
        <f>INDEX(Dataset!$B$2:$B$181,MATCH(A10,Dataset!$A$2:$A$181,0))</f>
        <v>1</v>
      </c>
      <c r="C10" s="3">
        <v>0.97389999999999999</v>
      </c>
      <c r="D10" s="8">
        <f t="shared" si="0"/>
        <v>1</v>
      </c>
      <c r="E10" s="3">
        <v>0.76500000000000001</v>
      </c>
      <c r="F10" s="8">
        <f t="shared" si="1"/>
        <v>1</v>
      </c>
      <c r="G10" s="3">
        <v>0.95330000000000004</v>
      </c>
      <c r="H10" s="8">
        <f t="shared" si="2"/>
        <v>1</v>
      </c>
    </row>
    <row r="11" spans="1:8" x14ac:dyDescent="0.35">
      <c r="A11" s="2" t="s">
        <v>39</v>
      </c>
      <c r="B11" s="8">
        <f>INDEX(Dataset!$B$2:$B$181,MATCH(A11,Dataset!$A$2:$A$181,0))</f>
        <v>1</v>
      </c>
      <c r="C11" s="3">
        <v>0.92530000000000001</v>
      </c>
      <c r="D11" s="8">
        <f t="shared" si="0"/>
        <v>1</v>
      </c>
      <c r="E11" s="3">
        <v>0.65500000000000003</v>
      </c>
      <c r="F11" s="8">
        <f t="shared" si="1"/>
        <v>1</v>
      </c>
      <c r="G11" s="3">
        <v>0.87470000000000003</v>
      </c>
      <c r="H11" s="8">
        <f t="shared" si="2"/>
        <v>1</v>
      </c>
    </row>
    <row r="12" spans="1:8" x14ac:dyDescent="0.35">
      <c r="A12" s="2" t="s">
        <v>44</v>
      </c>
      <c r="B12" s="8">
        <f>INDEX(Dataset!$B$2:$B$181,MATCH(A12,Dataset!$A$2:$A$181,0))</f>
        <v>0</v>
      </c>
      <c r="C12" s="3">
        <v>0.31840000000000002</v>
      </c>
      <c r="D12" s="8">
        <f t="shared" si="0"/>
        <v>0</v>
      </c>
      <c r="E12" s="3">
        <v>0.495</v>
      </c>
      <c r="F12" s="8">
        <f t="shared" si="1"/>
        <v>0</v>
      </c>
      <c r="G12" s="3">
        <v>0.47289999999999999</v>
      </c>
      <c r="H12" s="8">
        <f t="shared" si="2"/>
        <v>0</v>
      </c>
    </row>
    <row r="13" spans="1:8" x14ac:dyDescent="0.35">
      <c r="A13" s="2" t="s">
        <v>51</v>
      </c>
      <c r="B13" s="8">
        <f>INDEX(Dataset!$B$2:$B$181,MATCH(A13,Dataset!$A$2:$A$181,0))</f>
        <v>0</v>
      </c>
      <c r="C13" s="3">
        <v>0.01</v>
      </c>
      <c r="D13" s="8">
        <f t="shared" si="0"/>
        <v>0</v>
      </c>
      <c r="E13" s="3">
        <v>5.5E-2</v>
      </c>
      <c r="F13" s="8">
        <f t="shared" si="1"/>
        <v>0</v>
      </c>
      <c r="G13" s="3">
        <v>2.6100000000000002E-2</v>
      </c>
      <c r="H13" s="8">
        <f t="shared" si="2"/>
        <v>0</v>
      </c>
    </row>
    <row r="14" spans="1:8" x14ac:dyDescent="0.35">
      <c r="A14" s="2" t="s">
        <v>53</v>
      </c>
      <c r="B14" s="8">
        <f>INDEX(Dataset!$B$2:$B$181,MATCH(A14,Dataset!$A$2:$A$181,0))</f>
        <v>0</v>
      </c>
      <c r="C14" s="3">
        <v>2.7699999999999999E-2</v>
      </c>
      <c r="D14" s="8">
        <f t="shared" si="0"/>
        <v>0</v>
      </c>
      <c r="E14" s="3">
        <v>0.22500000000000001</v>
      </c>
      <c r="F14" s="8">
        <f t="shared" si="1"/>
        <v>0</v>
      </c>
      <c r="G14" s="3">
        <v>0.14580000000000001</v>
      </c>
      <c r="H14" s="8">
        <f t="shared" si="2"/>
        <v>0</v>
      </c>
    </row>
    <row r="15" spans="1:8" x14ac:dyDescent="0.35">
      <c r="A15" s="2" t="s">
        <v>54</v>
      </c>
      <c r="B15" s="8">
        <f>INDEX(Dataset!$B$2:$B$181,MATCH(A15,Dataset!$A$2:$A$181,0))</f>
        <v>0</v>
      </c>
      <c r="C15" s="3">
        <v>0.21709999999999999</v>
      </c>
      <c r="D15" s="8">
        <f t="shared" si="0"/>
        <v>0</v>
      </c>
      <c r="E15" s="3">
        <v>0.35</v>
      </c>
      <c r="F15" s="8">
        <f t="shared" si="1"/>
        <v>0</v>
      </c>
      <c r="G15" s="3">
        <v>0.19819999999999999</v>
      </c>
      <c r="H15" s="8">
        <f t="shared" si="2"/>
        <v>0</v>
      </c>
    </row>
    <row r="16" spans="1:8" x14ac:dyDescent="0.35">
      <c r="A16" s="2" t="s">
        <v>59</v>
      </c>
      <c r="B16" s="8">
        <f>INDEX(Dataset!$B$2:$B$181,MATCH(A16,Dataset!$A$2:$A$181,0))</f>
        <v>0</v>
      </c>
      <c r="C16" s="3">
        <v>2.5999999999999999E-2</v>
      </c>
      <c r="D16" s="8">
        <f t="shared" si="0"/>
        <v>0</v>
      </c>
      <c r="E16" s="3">
        <v>0.17</v>
      </c>
      <c r="F16" s="8">
        <f t="shared" si="1"/>
        <v>0</v>
      </c>
      <c r="G16" s="3">
        <v>9.4899999999999998E-2</v>
      </c>
      <c r="H16" s="8">
        <f t="shared" si="2"/>
        <v>0</v>
      </c>
    </row>
    <row r="17" spans="1:8" x14ac:dyDescent="0.35">
      <c r="A17" s="2" t="s">
        <v>60</v>
      </c>
      <c r="B17" s="8">
        <f>INDEX(Dataset!$B$2:$B$181,MATCH(A17,Dataset!$A$2:$A$181,0))</f>
        <v>0</v>
      </c>
      <c r="C17" s="3">
        <v>0.14860000000000001</v>
      </c>
      <c r="D17" s="8">
        <f t="shared" si="0"/>
        <v>0</v>
      </c>
      <c r="E17" s="3">
        <v>0.115</v>
      </c>
      <c r="F17" s="8">
        <f t="shared" si="1"/>
        <v>0</v>
      </c>
      <c r="G17" s="3">
        <v>0.113</v>
      </c>
      <c r="H17" s="8">
        <f t="shared" si="2"/>
        <v>0</v>
      </c>
    </row>
    <row r="18" spans="1:8" x14ac:dyDescent="0.35">
      <c r="A18" s="2" t="s">
        <v>65</v>
      </c>
      <c r="B18" s="8">
        <f>INDEX(Dataset!$B$2:$B$181,MATCH(A18,Dataset!$A$2:$A$181,0))</f>
        <v>0</v>
      </c>
      <c r="C18" s="3">
        <v>2.0999999999999999E-3</v>
      </c>
      <c r="D18" s="8">
        <f t="shared" si="0"/>
        <v>0</v>
      </c>
      <c r="E18" s="3">
        <v>1.4999999999999999E-2</v>
      </c>
      <c r="F18" s="8">
        <f t="shared" si="1"/>
        <v>0</v>
      </c>
      <c r="G18" s="3">
        <v>4.2999999999999997E-2</v>
      </c>
      <c r="H18" s="8">
        <f t="shared" si="2"/>
        <v>0</v>
      </c>
    </row>
    <row r="19" spans="1:8" x14ac:dyDescent="0.35">
      <c r="A19" s="2" t="s">
        <v>72</v>
      </c>
      <c r="B19" s="8">
        <f>INDEX(Dataset!$B$2:$B$181,MATCH(A19,Dataset!$A$2:$A$181,0))</f>
        <v>1</v>
      </c>
      <c r="C19" s="3">
        <v>0.99409999999999998</v>
      </c>
      <c r="D19" s="8">
        <f t="shared" si="0"/>
        <v>1</v>
      </c>
      <c r="E19" s="3">
        <v>0.88</v>
      </c>
      <c r="F19" s="8">
        <f t="shared" si="1"/>
        <v>1</v>
      </c>
      <c r="G19" s="3">
        <v>0.96699999999999997</v>
      </c>
      <c r="H19" s="8">
        <f t="shared" si="2"/>
        <v>1</v>
      </c>
    </row>
    <row r="20" spans="1:8" x14ac:dyDescent="0.35">
      <c r="A20" s="2" t="s">
        <v>73</v>
      </c>
      <c r="B20" s="8">
        <f>INDEX(Dataset!$B$2:$B$181,MATCH(A20,Dataset!$A$2:$A$181,0))</f>
        <v>1</v>
      </c>
      <c r="C20" s="3">
        <v>0.1575</v>
      </c>
      <c r="D20" s="8">
        <f t="shared" si="0"/>
        <v>0</v>
      </c>
      <c r="E20" s="3">
        <v>0.18</v>
      </c>
      <c r="F20" s="8">
        <f t="shared" si="1"/>
        <v>0</v>
      </c>
      <c r="G20" s="3">
        <v>0.13289999999999999</v>
      </c>
      <c r="H20" s="8">
        <f t="shared" si="2"/>
        <v>0</v>
      </c>
    </row>
    <row r="21" spans="1:8" x14ac:dyDescent="0.35">
      <c r="A21" s="2" t="s">
        <v>78</v>
      </c>
      <c r="B21" s="8">
        <f>INDEX(Dataset!$B$2:$B$181,MATCH(A21,Dataset!$A$2:$A$181,0))</f>
        <v>0</v>
      </c>
      <c r="C21" s="3">
        <v>0.81530000000000002</v>
      </c>
      <c r="D21" s="8">
        <f t="shared" si="0"/>
        <v>1</v>
      </c>
      <c r="E21" s="3">
        <v>0.84499999999999997</v>
      </c>
      <c r="F21" s="8">
        <f t="shared" si="1"/>
        <v>1</v>
      </c>
      <c r="G21" s="3">
        <v>0.67130000000000001</v>
      </c>
      <c r="H21" s="8">
        <f t="shared" si="2"/>
        <v>1</v>
      </c>
    </row>
    <row r="22" spans="1:8" x14ac:dyDescent="0.35">
      <c r="A22" s="2" t="s">
        <v>80</v>
      </c>
      <c r="B22" s="8">
        <f>INDEX(Dataset!$B$2:$B$181,MATCH(A22,Dataset!$A$2:$A$181,0))</f>
        <v>1</v>
      </c>
      <c r="C22" s="3">
        <v>0.77390000000000003</v>
      </c>
      <c r="D22" s="8">
        <f t="shared" si="0"/>
        <v>1</v>
      </c>
      <c r="E22" s="3">
        <v>0.34499999999999997</v>
      </c>
      <c r="F22" s="8">
        <f t="shared" si="1"/>
        <v>0</v>
      </c>
      <c r="G22" s="3">
        <v>0.66790000000000005</v>
      </c>
      <c r="H22" s="8">
        <f t="shared" si="2"/>
        <v>1</v>
      </c>
    </row>
    <row r="23" spans="1:8" x14ac:dyDescent="0.35">
      <c r="A23" s="2" t="s">
        <v>84</v>
      </c>
      <c r="B23" s="8">
        <f>INDEX(Dataset!$B$2:$B$181,MATCH(A23,Dataset!$A$2:$A$181,0))</f>
        <v>0</v>
      </c>
      <c r="C23" s="3">
        <v>4.9799999999999997E-2</v>
      </c>
      <c r="D23" s="8">
        <f t="shared" si="0"/>
        <v>0</v>
      </c>
      <c r="E23" s="3">
        <v>0.22489999999999999</v>
      </c>
      <c r="F23" s="8">
        <f t="shared" si="1"/>
        <v>0</v>
      </c>
      <c r="G23" s="3">
        <v>0.14979999999999999</v>
      </c>
      <c r="H23" s="8">
        <f t="shared" si="2"/>
        <v>0</v>
      </c>
    </row>
    <row r="24" spans="1:8" x14ac:dyDescent="0.35">
      <c r="A24" s="2" t="s">
        <v>87</v>
      </c>
      <c r="B24" s="8">
        <f>INDEX(Dataset!$B$2:$B$181,MATCH(A24,Dataset!$A$2:$A$181,0))</f>
        <v>0</v>
      </c>
      <c r="C24" s="3">
        <v>3.2500000000000001E-2</v>
      </c>
      <c r="D24" s="8">
        <f t="shared" si="0"/>
        <v>0</v>
      </c>
      <c r="E24" s="3">
        <v>6.5000000000000002E-2</v>
      </c>
      <c r="F24" s="8">
        <f t="shared" si="1"/>
        <v>0</v>
      </c>
      <c r="G24" s="3">
        <v>0.1003</v>
      </c>
      <c r="H24" s="8">
        <f t="shared" si="2"/>
        <v>0</v>
      </c>
    </row>
    <row r="25" spans="1:8" x14ac:dyDescent="0.35">
      <c r="A25" s="2" t="s">
        <v>88</v>
      </c>
      <c r="B25" s="8">
        <f>INDEX(Dataset!$B$2:$B$181,MATCH(A25,Dataset!$A$2:$A$181,0))</f>
        <v>0</v>
      </c>
      <c r="C25" s="3">
        <v>4.0399999999999998E-2</v>
      </c>
      <c r="D25" s="8">
        <f t="shared" si="0"/>
        <v>0</v>
      </c>
      <c r="E25" s="3">
        <v>0.14000000000000001</v>
      </c>
      <c r="F25" s="8">
        <f t="shared" si="1"/>
        <v>0</v>
      </c>
      <c r="G25" s="3">
        <v>8.1600000000000006E-2</v>
      </c>
      <c r="H25" s="8">
        <f t="shared" si="2"/>
        <v>0</v>
      </c>
    </row>
    <row r="26" spans="1:8" x14ac:dyDescent="0.35">
      <c r="A26" s="2" t="s">
        <v>96</v>
      </c>
      <c r="B26" s="8">
        <f>INDEX(Dataset!$B$2:$B$181,MATCH(A26,Dataset!$A$2:$A$181,0))</f>
        <v>0</v>
      </c>
      <c r="C26" s="3">
        <v>8.9999999999999998E-4</v>
      </c>
      <c r="D26" s="8">
        <f t="shared" si="0"/>
        <v>0</v>
      </c>
      <c r="E26" s="3">
        <v>0.06</v>
      </c>
      <c r="F26" s="8">
        <f t="shared" si="1"/>
        <v>0</v>
      </c>
      <c r="G26" s="3">
        <v>0.1056</v>
      </c>
      <c r="H26" s="8">
        <f t="shared" si="2"/>
        <v>0</v>
      </c>
    </row>
    <row r="27" spans="1:8" x14ac:dyDescent="0.35">
      <c r="A27" s="2" t="s">
        <v>100</v>
      </c>
      <c r="B27" s="8">
        <f>INDEX(Dataset!$B$2:$B$181,MATCH(A27,Dataset!$A$2:$A$181,0))</f>
        <v>0</v>
      </c>
      <c r="C27" s="3">
        <v>2.5600000000000001E-2</v>
      </c>
      <c r="D27" s="8">
        <f t="shared" si="0"/>
        <v>0</v>
      </c>
      <c r="E27" s="3">
        <v>7.4999999999999997E-2</v>
      </c>
      <c r="F27" s="8">
        <f t="shared" si="1"/>
        <v>0</v>
      </c>
      <c r="G27" s="3">
        <v>4.7899999999999998E-2</v>
      </c>
      <c r="H27" s="8">
        <f t="shared" si="2"/>
        <v>0</v>
      </c>
    </row>
    <row r="28" spans="1:8" x14ac:dyDescent="0.35">
      <c r="A28" s="2" t="s">
        <v>105</v>
      </c>
      <c r="B28" s="8">
        <f>INDEX(Dataset!$B$2:$B$181,MATCH(A28,Dataset!$A$2:$A$181,0))</f>
        <v>1</v>
      </c>
      <c r="C28" s="3">
        <v>0.7258</v>
      </c>
      <c r="D28" s="8">
        <f t="shared" si="0"/>
        <v>1</v>
      </c>
      <c r="E28" s="3">
        <v>0.64</v>
      </c>
      <c r="F28" s="8">
        <f t="shared" si="1"/>
        <v>1</v>
      </c>
      <c r="G28" s="3">
        <v>0.432</v>
      </c>
      <c r="H28" s="8">
        <f t="shared" si="2"/>
        <v>0</v>
      </c>
    </row>
    <row r="29" spans="1:8" x14ac:dyDescent="0.35">
      <c r="A29" s="2" t="s">
        <v>106</v>
      </c>
      <c r="B29" s="8">
        <f>INDEX(Dataset!$B$2:$B$181,MATCH(A29,Dataset!$A$2:$A$181,0))</f>
        <v>0</v>
      </c>
      <c r="C29" s="3">
        <v>4.1999999999999997E-3</v>
      </c>
      <c r="D29" s="8">
        <f t="shared" si="0"/>
        <v>0</v>
      </c>
      <c r="E29" s="3">
        <v>0.13500000000000001</v>
      </c>
      <c r="F29" s="8">
        <f t="shared" si="1"/>
        <v>0</v>
      </c>
      <c r="G29" s="3">
        <v>9.6000000000000002E-2</v>
      </c>
      <c r="H29" s="8">
        <f t="shared" si="2"/>
        <v>0</v>
      </c>
    </row>
    <row r="30" spans="1:8" x14ac:dyDescent="0.35">
      <c r="A30" s="2" t="s">
        <v>108</v>
      </c>
      <c r="B30" s="8">
        <f>INDEX(Dataset!$B$2:$B$181,MATCH(A30,Dataset!$A$2:$A$181,0))</f>
        <v>0</v>
      </c>
      <c r="C30" s="3">
        <v>0.48809999999999998</v>
      </c>
      <c r="D30" s="8">
        <f t="shared" si="0"/>
        <v>0</v>
      </c>
      <c r="E30" s="3">
        <v>0.49490000000000001</v>
      </c>
      <c r="F30" s="8">
        <f t="shared" si="1"/>
        <v>0</v>
      </c>
      <c r="G30" s="3">
        <v>0.44540000000000002</v>
      </c>
      <c r="H30" s="8">
        <f t="shared" si="2"/>
        <v>0</v>
      </c>
    </row>
    <row r="31" spans="1:8" x14ac:dyDescent="0.35">
      <c r="A31" s="2" t="s">
        <v>117</v>
      </c>
      <c r="B31" s="8">
        <f>INDEX(Dataset!$B$2:$B$181,MATCH(A31,Dataset!$A$2:$A$181,0))</f>
        <v>1</v>
      </c>
      <c r="C31" s="3">
        <v>0.74009999999999998</v>
      </c>
      <c r="D31" s="8">
        <f t="shared" si="0"/>
        <v>1</v>
      </c>
      <c r="E31" s="3">
        <v>0.46500000000000002</v>
      </c>
      <c r="F31" s="8">
        <f t="shared" si="1"/>
        <v>0</v>
      </c>
      <c r="G31" s="3">
        <v>0.80469999999999997</v>
      </c>
      <c r="H31" s="8">
        <f t="shared" si="2"/>
        <v>1</v>
      </c>
    </row>
    <row r="32" spans="1:8" x14ac:dyDescent="0.35">
      <c r="A32" s="2" t="s">
        <v>121</v>
      </c>
      <c r="B32" s="8">
        <f>INDEX(Dataset!$B$2:$B$181,MATCH(A32,Dataset!$A$2:$A$181,0))</f>
        <v>0</v>
      </c>
      <c r="C32" s="3">
        <v>7.6E-3</v>
      </c>
      <c r="D32" s="8">
        <f t="shared" si="0"/>
        <v>0</v>
      </c>
      <c r="E32" s="3">
        <v>0.01</v>
      </c>
      <c r="F32" s="8">
        <f t="shared" si="1"/>
        <v>0</v>
      </c>
      <c r="G32" s="3">
        <v>2.87E-2</v>
      </c>
      <c r="H32" s="8">
        <f t="shared" si="2"/>
        <v>0</v>
      </c>
    </row>
    <row r="33" spans="1:8" x14ac:dyDescent="0.35">
      <c r="A33" s="2" t="s">
        <v>122</v>
      </c>
      <c r="B33" s="8">
        <f>INDEX(Dataset!$B$2:$B$181,MATCH(A33,Dataset!$A$2:$A$181,0))</f>
        <v>0</v>
      </c>
      <c r="C33" s="3">
        <v>0.65659999999999996</v>
      </c>
      <c r="D33" s="8">
        <f t="shared" si="0"/>
        <v>1</v>
      </c>
      <c r="E33" s="3">
        <v>0.43</v>
      </c>
      <c r="F33" s="8">
        <f t="shared" si="1"/>
        <v>0</v>
      </c>
      <c r="G33" s="3">
        <v>0.7077</v>
      </c>
      <c r="H33" s="8">
        <f t="shared" si="2"/>
        <v>1</v>
      </c>
    </row>
    <row r="34" spans="1:8" x14ac:dyDescent="0.35">
      <c r="A34" s="2" t="s">
        <v>124</v>
      </c>
      <c r="B34" s="8">
        <f>INDEX(Dataset!$B$2:$B$181,MATCH(A34,Dataset!$A$2:$A$181,0))</f>
        <v>0</v>
      </c>
      <c r="C34" s="3">
        <v>0.83099999999999996</v>
      </c>
      <c r="D34" s="8">
        <f t="shared" si="0"/>
        <v>1</v>
      </c>
      <c r="E34" s="3">
        <v>0.36</v>
      </c>
      <c r="F34" s="8">
        <f t="shared" si="1"/>
        <v>0</v>
      </c>
      <c r="G34" s="3">
        <v>0.81459999999999999</v>
      </c>
      <c r="H34" s="8">
        <f t="shared" si="2"/>
        <v>1</v>
      </c>
    </row>
    <row r="35" spans="1:8" x14ac:dyDescent="0.35">
      <c r="A35" s="2" t="s">
        <v>131</v>
      </c>
      <c r="B35" s="8">
        <f>INDEX(Dataset!$B$2:$B$181,MATCH(A35,Dataset!$A$2:$A$181,0))</f>
        <v>0</v>
      </c>
      <c r="C35" s="3">
        <v>1.7100000000000001E-2</v>
      </c>
      <c r="D35" s="8">
        <f t="shared" si="0"/>
        <v>0</v>
      </c>
      <c r="E35" s="3">
        <v>0.1399</v>
      </c>
      <c r="F35" s="8">
        <f t="shared" si="1"/>
        <v>0</v>
      </c>
      <c r="G35" s="3">
        <v>0.11119999999999999</v>
      </c>
      <c r="H35" s="8">
        <f t="shared" si="2"/>
        <v>0</v>
      </c>
    </row>
    <row r="36" spans="1:8" x14ac:dyDescent="0.35">
      <c r="A36" s="2" t="s">
        <v>132</v>
      </c>
      <c r="B36" s="8">
        <f>INDEX(Dataset!$B$2:$B$181,MATCH(A36,Dataset!$A$2:$A$181,0))</f>
        <v>0</v>
      </c>
      <c r="C36" s="3">
        <v>8.6E-3</v>
      </c>
      <c r="D36" s="8">
        <f t="shared" ref="D36:D67" si="3">IF(C36&gt;=0.5,1,0)</f>
        <v>0</v>
      </c>
      <c r="E36" s="3">
        <v>0.19500000000000001</v>
      </c>
      <c r="F36" s="8">
        <f t="shared" ref="F36:F67" si="4">IF(E36&gt;=0.5,1,0)</f>
        <v>0</v>
      </c>
      <c r="G36" s="3">
        <v>0.11260000000000001</v>
      </c>
      <c r="H36" s="8">
        <f t="shared" ref="H36:H67" si="5">IF(G36&gt;=0.5,1,0)</f>
        <v>0</v>
      </c>
    </row>
    <row r="37" spans="1:8" x14ac:dyDescent="0.35">
      <c r="A37" s="2" t="s">
        <v>134</v>
      </c>
      <c r="B37" s="8">
        <f>INDEX(Dataset!$B$2:$B$181,MATCH(A37,Dataset!$A$2:$A$181,0))</f>
        <v>0</v>
      </c>
      <c r="C37" s="3">
        <v>1.0800000000000001E-2</v>
      </c>
      <c r="D37" s="8">
        <f t="shared" si="3"/>
        <v>0</v>
      </c>
      <c r="E37" s="3">
        <v>0.27</v>
      </c>
      <c r="F37" s="8">
        <f t="shared" si="4"/>
        <v>0</v>
      </c>
      <c r="G37" s="3">
        <v>0.1167</v>
      </c>
      <c r="H37" s="8">
        <f t="shared" si="5"/>
        <v>0</v>
      </c>
    </row>
    <row r="38" spans="1:8" x14ac:dyDescent="0.35">
      <c r="A38" s="2" t="s">
        <v>137</v>
      </c>
      <c r="B38" s="8">
        <f>INDEX(Dataset!$B$2:$B$181,MATCH(A38,Dataset!$A$2:$A$181,0))</f>
        <v>0</v>
      </c>
      <c r="C38" s="3">
        <v>8.8000000000000005E-3</v>
      </c>
      <c r="D38" s="8">
        <f t="shared" si="3"/>
        <v>0</v>
      </c>
      <c r="E38" s="3">
        <v>5.4899999999999997E-2</v>
      </c>
      <c r="F38" s="8">
        <f t="shared" si="4"/>
        <v>0</v>
      </c>
      <c r="G38" s="3">
        <v>6.6699999999999995E-2</v>
      </c>
      <c r="H38" s="8">
        <f t="shared" si="5"/>
        <v>0</v>
      </c>
    </row>
    <row r="39" spans="1:8" x14ac:dyDescent="0.35">
      <c r="A39" s="2" t="s">
        <v>138</v>
      </c>
      <c r="B39" s="8">
        <f>INDEX(Dataset!$B$2:$B$181,MATCH(A39,Dataset!$A$2:$A$181,0))</f>
        <v>0</v>
      </c>
      <c r="C39" s="3">
        <v>1E-3</v>
      </c>
      <c r="D39" s="8">
        <f t="shared" si="3"/>
        <v>0</v>
      </c>
      <c r="E39" s="3">
        <v>3.9800000000000002E-2</v>
      </c>
      <c r="F39" s="8">
        <f t="shared" si="4"/>
        <v>0</v>
      </c>
      <c r="G39" s="3">
        <v>6.3799999999999996E-2</v>
      </c>
      <c r="H39" s="8">
        <f t="shared" si="5"/>
        <v>0</v>
      </c>
    </row>
    <row r="40" spans="1:8" x14ac:dyDescent="0.35">
      <c r="A40" s="2" t="s">
        <v>145</v>
      </c>
      <c r="B40" s="8">
        <f>INDEX(Dataset!$B$2:$B$181,MATCH(A40,Dataset!$A$2:$A$181,0))</f>
        <v>0</v>
      </c>
      <c r="C40" s="3">
        <v>7.9600000000000004E-2</v>
      </c>
      <c r="D40" s="8">
        <f t="shared" si="3"/>
        <v>0</v>
      </c>
      <c r="E40" s="3">
        <v>0.33</v>
      </c>
      <c r="F40" s="8">
        <f t="shared" si="4"/>
        <v>0</v>
      </c>
      <c r="G40" s="3">
        <v>0.13819999999999999</v>
      </c>
      <c r="H40" s="8">
        <f t="shared" si="5"/>
        <v>0</v>
      </c>
    </row>
    <row r="41" spans="1:8" x14ac:dyDescent="0.35">
      <c r="A41" s="2" t="s">
        <v>146</v>
      </c>
      <c r="B41" s="8">
        <f>INDEX(Dataset!$B$2:$B$181,MATCH(A41,Dataset!$A$2:$A$181,0))</f>
        <v>0</v>
      </c>
      <c r="C41" s="3">
        <v>3.3700000000000001E-2</v>
      </c>
      <c r="D41" s="8">
        <f t="shared" si="3"/>
        <v>0</v>
      </c>
      <c r="E41" s="3">
        <v>2.5000000000000001E-2</v>
      </c>
      <c r="F41" s="8">
        <f t="shared" si="4"/>
        <v>0</v>
      </c>
      <c r="G41" s="3">
        <v>3.3000000000000002E-2</v>
      </c>
      <c r="H41" s="8">
        <f t="shared" si="5"/>
        <v>0</v>
      </c>
    </row>
    <row r="42" spans="1:8" x14ac:dyDescent="0.35">
      <c r="A42" s="2" t="s">
        <v>151</v>
      </c>
      <c r="B42" s="8">
        <f>INDEX(Dataset!$B$2:$B$181,MATCH(A42,Dataset!$A$2:$A$181,0))</f>
        <v>1</v>
      </c>
      <c r="C42" s="3">
        <v>0.96240000000000003</v>
      </c>
      <c r="D42" s="8">
        <f t="shared" si="3"/>
        <v>1</v>
      </c>
      <c r="E42" s="3">
        <v>0.78</v>
      </c>
      <c r="F42" s="8">
        <f t="shared" si="4"/>
        <v>1</v>
      </c>
      <c r="G42" s="3">
        <v>0.70230000000000004</v>
      </c>
      <c r="H42" s="8">
        <f t="shared" si="5"/>
        <v>1</v>
      </c>
    </row>
    <row r="43" spans="1:8" x14ac:dyDescent="0.35">
      <c r="A43" s="2" t="s">
        <v>153</v>
      </c>
      <c r="B43" s="8">
        <f>INDEX(Dataset!$B$2:$B$181,MATCH(A43,Dataset!$A$2:$A$181,0))</f>
        <v>1</v>
      </c>
      <c r="C43" s="3">
        <v>0.33960000000000001</v>
      </c>
      <c r="D43" s="8">
        <f t="shared" si="3"/>
        <v>0</v>
      </c>
      <c r="E43" s="3">
        <v>0.41</v>
      </c>
      <c r="F43" s="8">
        <f t="shared" si="4"/>
        <v>0</v>
      </c>
      <c r="G43" s="3">
        <v>0.1807</v>
      </c>
      <c r="H43" s="8">
        <f t="shared" si="5"/>
        <v>0</v>
      </c>
    </row>
    <row r="44" spans="1:8" x14ac:dyDescent="0.35">
      <c r="A44" s="2" t="s">
        <v>155</v>
      </c>
      <c r="B44" s="8">
        <f>INDEX(Dataset!$B$2:$B$181,MATCH(A44,Dataset!$A$2:$A$181,0))</f>
        <v>1</v>
      </c>
      <c r="C44" s="3">
        <v>0.24970000000000001</v>
      </c>
      <c r="D44" s="8">
        <f t="shared" si="3"/>
        <v>0</v>
      </c>
      <c r="E44" s="3">
        <v>0.185</v>
      </c>
      <c r="F44" s="8">
        <f t="shared" si="4"/>
        <v>0</v>
      </c>
      <c r="G44" s="3">
        <v>0.1401</v>
      </c>
      <c r="H44" s="8">
        <f t="shared" si="5"/>
        <v>0</v>
      </c>
    </row>
    <row r="45" spans="1:8" x14ac:dyDescent="0.35">
      <c r="A45" s="2" t="s">
        <v>157</v>
      </c>
      <c r="B45" s="8">
        <f>INDEX(Dataset!$B$2:$B$181,MATCH(A45,Dataset!$A$2:$A$181,0))</f>
        <v>1</v>
      </c>
      <c r="C45" s="3">
        <v>2.7900000000000001E-2</v>
      </c>
      <c r="D45" s="8">
        <f t="shared" si="3"/>
        <v>0</v>
      </c>
      <c r="E45" s="3">
        <v>0.12</v>
      </c>
      <c r="F45" s="8">
        <f t="shared" si="4"/>
        <v>0</v>
      </c>
      <c r="G45" s="3">
        <v>9.8000000000000004E-2</v>
      </c>
      <c r="H45" s="8">
        <f t="shared" si="5"/>
        <v>0</v>
      </c>
    </row>
    <row r="46" spans="1:8" x14ac:dyDescent="0.35">
      <c r="A46" s="2" t="s">
        <v>159</v>
      </c>
      <c r="B46" s="8">
        <f>INDEX(Dataset!$B$2:$B$181,MATCH(A46,Dataset!$A$2:$A$181,0))</f>
        <v>0</v>
      </c>
      <c r="C46" s="3">
        <v>4.1799999999999997E-2</v>
      </c>
      <c r="D46" s="8">
        <f t="shared" si="3"/>
        <v>0</v>
      </c>
      <c r="E46" s="3">
        <v>0.215</v>
      </c>
      <c r="F46" s="8">
        <f t="shared" si="4"/>
        <v>0</v>
      </c>
      <c r="G46" s="3">
        <v>0.1157</v>
      </c>
      <c r="H46" s="8">
        <f t="shared" si="5"/>
        <v>0</v>
      </c>
    </row>
    <row r="47" spans="1:8" x14ac:dyDescent="0.35">
      <c r="A47" s="2" t="s">
        <v>160</v>
      </c>
      <c r="B47" s="8">
        <f>INDEX(Dataset!$B$2:$B$181,MATCH(A47,Dataset!$A$2:$A$181,0))</f>
        <v>0</v>
      </c>
      <c r="C47" s="3">
        <v>5.9999999999999995E-4</v>
      </c>
      <c r="D47" s="8">
        <f t="shared" si="3"/>
        <v>0</v>
      </c>
      <c r="E47" s="3">
        <v>3.9699999999999999E-2</v>
      </c>
      <c r="F47" s="8">
        <f t="shared" si="4"/>
        <v>0</v>
      </c>
      <c r="G47" s="3">
        <v>0.12130000000000001</v>
      </c>
      <c r="H47" s="8">
        <f t="shared" si="5"/>
        <v>0</v>
      </c>
    </row>
    <row r="48" spans="1:8" x14ac:dyDescent="0.35">
      <c r="A48" s="2" t="s">
        <v>161</v>
      </c>
      <c r="B48" s="8">
        <f>INDEX(Dataset!$B$2:$B$181,MATCH(A48,Dataset!$A$2:$A$181,0))</f>
        <v>1</v>
      </c>
      <c r="C48" s="3">
        <v>0.97589999999999999</v>
      </c>
      <c r="D48" s="8">
        <f t="shared" si="3"/>
        <v>1</v>
      </c>
      <c r="E48" s="3">
        <v>0.755</v>
      </c>
      <c r="F48" s="8">
        <f t="shared" si="4"/>
        <v>1</v>
      </c>
      <c r="G48" s="3">
        <v>0.76429999999999998</v>
      </c>
      <c r="H48" s="8">
        <f t="shared" si="5"/>
        <v>1</v>
      </c>
    </row>
    <row r="49" spans="1:8" x14ac:dyDescent="0.35">
      <c r="A49" s="2" t="s">
        <v>163</v>
      </c>
      <c r="B49" s="8">
        <f>INDEX(Dataset!$B$2:$B$181,MATCH(A49,Dataset!$A$2:$A$181,0))</f>
        <v>0</v>
      </c>
      <c r="C49" s="3">
        <v>2.5999999999999999E-3</v>
      </c>
      <c r="D49" s="8">
        <f t="shared" si="3"/>
        <v>0</v>
      </c>
      <c r="E49" s="3">
        <v>0.05</v>
      </c>
      <c r="F49" s="8">
        <f t="shared" si="4"/>
        <v>0</v>
      </c>
      <c r="G49" s="3">
        <v>0.1089</v>
      </c>
      <c r="H49" s="8">
        <f t="shared" si="5"/>
        <v>0</v>
      </c>
    </row>
    <row r="50" spans="1:8" x14ac:dyDescent="0.35">
      <c r="A50" s="2" t="s">
        <v>167</v>
      </c>
      <c r="B50" s="8">
        <f>INDEX(Dataset!$B$2:$B$181,MATCH(A50,Dataset!$A$2:$A$181,0))</f>
        <v>0</v>
      </c>
      <c r="C50" s="3">
        <v>1.41E-2</v>
      </c>
      <c r="D50" s="8">
        <f t="shared" si="3"/>
        <v>0</v>
      </c>
      <c r="E50" s="3">
        <v>0.04</v>
      </c>
      <c r="F50" s="8">
        <f t="shared" si="4"/>
        <v>0</v>
      </c>
      <c r="G50" s="3">
        <v>2.4799999999999999E-2</v>
      </c>
      <c r="H50" s="8">
        <f t="shared" si="5"/>
        <v>0</v>
      </c>
    </row>
    <row r="51" spans="1:8" x14ac:dyDescent="0.35">
      <c r="A51" s="2" t="s">
        <v>176</v>
      </c>
      <c r="B51" s="8">
        <f>INDEX(Dataset!$B$2:$B$181,MATCH(A51,Dataset!$A$2:$A$181,0))</f>
        <v>0</v>
      </c>
      <c r="C51" s="3">
        <v>2.35E-2</v>
      </c>
      <c r="D51" s="8">
        <f t="shared" si="3"/>
        <v>0</v>
      </c>
      <c r="E51" s="3">
        <v>0.08</v>
      </c>
      <c r="F51" s="8">
        <f t="shared" si="4"/>
        <v>0</v>
      </c>
      <c r="G51" s="3">
        <v>3.5299999999999998E-2</v>
      </c>
      <c r="H51" s="8">
        <f t="shared" si="5"/>
        <v>0</v>
      </c>
    </row>
    <row r="52" spans="1:8" x14ac:dyDescent="0.35">
      <c r="A52" s="2" t="s">
        <v>178</v>
      </c>
      <c r="B52" s="8">
        <f>INDEX(Dataset!$B$2:$B$181,MATCH(A52,Dataset!$A$2:$A$181,0))</f>
        <v>0</v>
      </c>
      <c r="C52" s="3">
        <v>5.33E-2</v>
      </c>
      <c r="D52" s="8">
        <f t="shared" si="3"/>
        <v>0</v>
      </c>
      <c r="E52" s="3">
        <v>3.9899999999999998E-2</v>
      </c>
      <c r="F52" s="8">
        <f t="shared" si="4"/>
        <v>0</v>
      </c>
      <c r="G52" s="3">
        <v>5.0999999999999997E-2</v>
      </c>
      <c r="H52" s="8">
        <f t="shared" si="5"/>
        <v>0</v>
      </c>
    </row>
    <row r="53" spans="1:8" x14ac:dyDescent="0.35">
      <c r="A53" s="2" t="s">
        <v>184</v>
      </c>
      <c r="B53" s="8">
        <f>INDEX(Dataset!$B$2:$B$181,MATCH(A53,Dataset!$A$2:$A$181,0))</f>
        <v>0</v>
      </c>
      <c r="C53" s="3">
        <v>1.6000000000000001E-3</v>
      </c>
      <c r="D53" s="8">
        <f t="shared" si="3"/>
        <v>0</v>
      </c>
      <c r="E53" s="3">
        <v>3.5000000000000003E-2</v>
      </c>
      <c r="F53" s="8">
        <f t="shared" si="4"/>
        <v>0</v>
      </c>
      <c r="G53" s="3">
        <v>3.0599999999999999E-2</v>
      </c>
      <c r="H53" s="8">
        <f t="shared" si="5"/>
        <v>0</v>
      </c>
    </row>
    <row r="54" spans="1:8" x14ac:dyDescent="0.35">
      <c r="A54" s="2" t="s">
        <v>186</v>
      </c>
      <c r="B54" s="8">
        <f>INDEX(Dataset!$B$2:$B$181,MATCH(A54,Dataset!$A$2:$A$181,0))</f>
        <v>0</v>
      </c>
      <c r="C54" s="3">
        <v>0.51590000000000003</v>
      </c>
      <c r="D54" s="8">
        <f t="shared" si="3"/>
        <v>1</v>
      </c>
      <c r="E54" s="3">
        <v>0.37</v>
      </c>
      <c r="F54" s="8">
        <f t="shared" si="4"/>
        <v>0</v>
      </c>
      <c r="G54" s="3">
        <v>0.38650000000000001</v>
      </c>
      <c r="H54" s="8">
        <f t="shared" si="5"/>
        <v>0</v>
      </c>
    </row>
    <row r="55" spans="1:8" x14ac:dyDescent="0.35">
      <c r="A55" s="2" t="s">
        <v>187</v>
      </c>
      <c r="B55" s="8">
        <f>INDEX(Dataset!$B$2:$B$181,MATCH(A55,Dataset!$A$2:$A$181,0))</f>
        <v>1</v>
      </c>
      <c r="C55" s="3">
        <v>0.99560000000000004</v>
      </c>
      <c r="D55" s="8">
        <f t="shared" si="3"/>
        <v>1</v>
      </c>
      <c r="E55" s="3">
        <v>0.85</v>
      </c>
      <c r="F55" s="8">
        <f t="shared" si="4"/>
        <v>1</v>
      </c>
      <c r="G55" s="3">
        <v>0.86460000000000004</v>
      </c>
      <c r="H55" s="8">
        <f t="shared" si="5"/>
        <v>1</v>
      </c>
    </row>
    <row r="56" spans="1:8" x14ac:dyDescent="0.35">
      <c r="A56" s="2" t="s">
        <v>189</v>
      </c>
      <c r="B56" s="8">
        <f>INDEX(Dataset!$B$2:$B$181,MATCH(A56,Dataset!$A$2:$A$181,0))</f>
        <v>0</v>
      </c>
      <c r="C56" s="3">
        <v>6.4999999999999997E-3</v>
      </c>
      <c r="D56" s="8">
        <f t="shared" si="3"/>
        <v>0</v>
      </c>
      <c r="E56" s="3">
        <v>3.9600000000000003E-2</v>
      </c>
      <c r="F56" s="8">
        <f t="shared" si="4"/>
        <v>0</v>
      </c>
      <c r="G56" s="3">
        <v>5.1799999999999999E-2</v>
      </c>
      <c r="H56" s="8">
        <f t="shared" si="5"/>
        <v>0</v>
      </c>
    </row>
    <row r="57" spans="1:8" x14ac:dyDescent="0.35">
      <c r="A57" s="2" t="s">
        <v>190</v>
      </c>
      <c r="B57" s="8">
        <f>INDEX(Dataset!$B$2:$B$181,MATCH(A57,Dataset!$A$2:$A$181,0))</f>
        <v>0</v>
      </c>
      <c r="C57" s="3">
        <v>3.0300000000000001E-2</v>
      </c>
      <c r="D57" s="8">
        <f t="shared" si="3"/>
        <v>0</v>
      </c>
      <c r="E57" s="3">
        <v>0.13489999999999999</v>
      </c>
      <c r="F57" s="8">
        <f t="shared" si="4"/>
        <v>0</v>
      </c>
      <c r="G57" s="3">
        <v>9.0399999999999994E-2</v>
      </c>
      <c r="H57" s="8">
        <f t="shared" si="5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zoomScaleNormal="100" workbookViewId="0">
      <selection activeCell="A8" sqref="A8:XFD11"/>
    </sheetView>
  </sheetViews>
  <sheetFormatPr defaultColWidth="8.6328125" defaultRowHeight="14.5" x14ac:dyDescent="0.35"/>
  <cols>
    <col min="1" max="1" width="20" customWidth="1"/>
    <col min="2" max="5" width="6" customWidth="1"/>
    <col min="6" max="9" width="10" customWidth="1"/>
    <col min="10" max="10" width="9" customWidth="1"/>
    <col min="11" max="11" width="3" customWidth="1"/>
    <col min="12" max="14" width="11" customWidth="1"/>
    <col min="15" max="16" width="10" customWidth="1"/>
    <col min="17" max="17" width="8" customWidth="1"/>
  </cols>
  <sheetData>
    <row r="1" spans="1:17" ht="16.5" x14ac:dyDescent="0.35">
      <c r="A1" s="4" t="s">
        <v>280</v>
      </c>
    </row>
    <row r="3" spans="1:17" ht="31.5" customHeight="1" x14ac:dyDescent="0.35">
      <c r="A3" s="1" t="s">
        <v>281</v>
      </c>
      <c r="B3" s="1" t="s">
        <v>282</v>
      </c>
      <c r="C3" s="1" t="s">
        <v>283</v>
      </c>
      <c r="D3" s="1" t="s">
        <v>284</v>
      </c>
      <c r="E3" s="1" t="s">
        <v>285</v>
      </c>
      <c r="F3" s="1" t="s">
        <v>286</v>
      </c>
      <c r="G3" s="1" t="s">
        <v>287</v>
      </c>
      <c r="H3" s="1" t="s">
        <v>288</v>
      </c>
      <c r="I3" s="1" t="s">
        <v>289</v>
      </c>
      <c r="J3" s="1" t="s">
        <v>290</v>
      </c>
      <c r="K3" s="1"/>
      <c r="L3" s="1" t="s">
        <v>291</v>
      </c>
      <c r="M3" s="1" t="s">
        <v>292</v>
      </c>
      <c r="N3" s="1" t="s">
        <v>293</v>
      </c>
      <c r="O3" s="1" t="s">
        <v>294</v>
      </c>
      <c r="P3" s="1" t="s">
        <v>295</v>
      </c>
      <c r="Q3" s="1" t="s">
        <v>249</v>
      </c>
    </row>
    <row r="4" spans="1:17" x14ac:dyDescent="0.35">
      <c r="A4" s="7" t="s">
        <v>296</v>
      </c>
      <c r="B4" s="8">
        <f>COUNTIFS('ML Test Set'!$B$4:$B$57,0,'ML Test Set'!$D$4:$D$57,0)</f>
        <v>35</v>
      </c>
      <c r="C4" s="8">
        <f>COUNTIFS('ML Test Set'!$B$4:$B$57,0,'ML Test Set'!$D$4:$D$57,1)</f>
        <v>5</v>
      </c>
      <c r="D4" s="8">
        <f>COUNTIFS('ML Test Set'!$B$4:$B$57,1,'ML Test Set'!$D$4:$D$57,0)</f>
        <v>4</v>
      </c>
      <c r="E4" s="8">
        <f>COUNTIFS('ML Test Set'!$B$4:$B$57,1,'ML Test Set'!$D$4:$D$57,1)</f>
        <v>10</v>
      </c>
      <c r="F4" s="9">
        <f>(B4+E4)/SUM(B4:E4)</f>
        <v>0.83333333333333337</v>
      </c>
      <c r="G4" s="9">
        <f>E4/(E4+C4)</f>
        <v>0.66666666666666663</v>
      </c>
      <c r="H4" s="9">
        <f>E4/(E4+D4)</f>
        <v>0.7142857142857143</v>
      </c>
      <c r="I4" s="9">
        <f>2*G4*H4/(G4+H4)</f>
        <v>0.68965517241379304</v>
      </c>
      <c r="J4" s="9">
        <f>SUMPRODUCT(('ML Test Set'!$B$4:$B$57=1)*COUNTIFS('ML Test Set'!$B$4:$B$57,0,'ML Test Set'!$C$4:$C$57,"&lt;"&amp;'ML Test Set'!$C$4:$C$57))/(COUNTIF('ML Test Set'!$B$4:$B$57,1)*COUNTIF('ML Test Set'!$B$4:$B$57,0))</f>
        <v>0.91428571428571426</v>
      </c>
      <c r="L4" s="10">
        <v>0.83299999999999996</v>
      </c>
      <c r="M4" s="10">
        <v>0.66700000000000004</v>
      </c>
      <c r="N4" s="10">
        <v>0.71399999999999997</v>
      </c>
      <c r="O4" s="10">
        <v>0.69</v>
      </c>
      <c r="P4" s="10">
        <v>0.91400000000000003</v>
      </c>
      <c r="Q4" s="11" t="str">
        <f>IF(AND(ROUND(F4,3)=L4,ROUND(G4,3)=M4,ROUND(H4,3)=N4,ROUND(I4,3)=O4,ROUND(J4,3)=P4),"✓","✗")</f>
        <v>✓</v>
      </c>
    </row>
    <row r="5" spans="1:17" x14ac:dyDescent="0.35">
      <c r="A5" s="7" t="s">
        <v>297</v>
      </c>
      <c r="B5" s="8">
        <f>COUNTIFS('ML Test Set'!$B$4:$B$57,0,'ML Test Set'!$F$4:$F$57,0)</f>
        <v>39</v>
      </c>
      <c r="C5" s="8">
        <f>COUNTIFS('ML Test Set'!$B$4:$B$57,0,'ML Test Set'!$F$4:$F$57,1)</f>
        <v>1</v>
      </c>
      <c r="D5" s="8">
        <f>COUNTIFS('ML Test Set'!$B$4:$B$57,1,'ML Test Set'!$F$4:$F$57,0)</f>
        <v>6</v>
      </c>
      <c r="E5" s="8">
        <f>COUNTIFS('ML Test Set'!$B$4:$B$57,1,'ML Test Set'!$F$4:$F$57,1)</f>
        <v>8</v>
      </c>
      <c r="F5" s="9">
        <f>(B5+E5)/SUM(B5:E5)</f>
        <v>0.87037037037037035</v>
      </c>
      <c r="G5" s="9">
        <f>E5/(E5+C5)</f>
        <v>0.88888888888888884</v>
      </c>
      <c r="H5" s="9">
        <f>E5/(E5+D5)</f>
        <v>0.5714285714285714</v>
      </c>
      <c r="I5" s="9">
        <f>2*G5*H5/(G5+H5)</f>
        <v>0.69565217391304346</v>
      </c>
      <c r="J5" s="9">
        <f>SUMPRODUCT(('ML Test Set'!$B$4:$B$57=1)*COUNTIFS('ML Test Set'!$B$4:$B$57,0,'ML Test Set'!$E$4:$E$57,"&lt;"&amp;'ML Test Set'!$E$4:$E$57))/(COUNTIF('ML Test Set'!$B$4:$B$57,1)*COUNTIF('ML Test Set'!$B$4:$B$57,0))</f>
        <v>0.86785714285714288</v>
      </c>
      <c r="L5" s="10">
        <v>0.87</v>
      </c>
      <c r="M5" s="10">
        <v>0.88900000000000001</v>
      </c>
      <c r="N5" s="10">
        <v>0.57099999999999995</v>
      </c>
      <c r="O5" s="10">
        <v>0.69599999999999995</v>
      </c>
      <c r="P5" s="10">
        <v>0.86799999999999999</v>
      </c>
      <c r="Q5" s="11" t="str">
        <f>IF(AND(ROUND(F5,3)=L5,ROUND(G5,3)=M5,ROUND(H5,3)=N5,ROUND(I5,3)=O5,ROUND(J5,3)=P5),"✓","✗")</f>
        <v>✓</v>
      </c>
    </row>
    <row r="6" spans="1:17" x14ac:dyDescent="0.35">
      <c r="A6" s="7" t="s">
        <v>298</v>
      </c>
      <c r="B6" s="8">
        <f>COUNTIFS('ML Test Set'!$B$4:$B$57,0,'ML Test Set'!$H$4:$H$57,0)</f>
        <v>37</v>
      </c>
      <c r="C6" s="8">
        <f>COUNTIFS('ML Test Set'!$B$4:$B$57,0,'ML Test Set'!$H$4:$H$57,1)</f>
        <v>3</v>
      </c>
      <c r="D6" s="8">
        <f>COUNTIFS('ML Test Set'!$B$4:$B$57,1,'ML Test Set'!$H$4:$H$57,0)</f>
        <v>5</v>
      </c>
      <c r="E6" s="8">
        <f>COUNTIFS('ML Test Set'!$B$4:$B$57,1,'ML Test Set'!$H$4:$H$57,1)</f>
        <v>9</v>
      </c>
      <c r="F6" s="9">
        <f>(B6+E6)/SUM(B6:E6)</f>
        <v>0.85185185185185186</v>
      </c>
      <c r="G6" s="9">
        <f>E6/(E6+C6)</f>
        <v>0.75</v>
      </c>
      <c r="H6" s="9">
        <f>E6/(E6+D6)</f>
        <v>0.6428571428571429</v>
      </c>
      <c r="I6" s="9">
        <f>2*G6*H6/(G6+H6)</f>
        <v>0.6923076923076924</v>
      </c>
      <c r="J6" s="9">
        <f>SUMPRODUCT(('ML Test Set'!$B$4:$B$57=1)*COUNTIFS('ML Test Set'!$B$4:$B$57,0,'ML Test Set'!$G$4:$G$57,"&lt;"&amp;'ML Test Set'!$G$4:$G$57))/(COUNTIF('ML Test Set'!$B$4:$B$57,1)*COUNTIF('ML Test Set'!$B$4:$B$57,0))</f>
        <v>0.88214285714285712</v>
      </c>
      <c r="L6" s="10">
        <v>0.85199999999999998</v>
      </c>
      <c r="M6" s="10">
        <v>0.75</v>
      </c>
      <c r="N6" s="10">
        <v>0.64300000000000002</v>
      </c>
      <c r="O6" s="10">
        <v>0.69199999999999995</v>
      </c>
      <c r="P6" s="10">
        <v>0.88200000000000001</v>
      </c>
      <c r="Q6" s="11" t="str">
        <f>IF(AND(ROUND(F6,3)=L6,ROUND(G6,3)=M6,ROUND(H6,3)=N6,ROUND(I6,3)=O6,ROUND(J6,3)=P6),"✓","✗")</f>
        <v>✓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Codebook</vt:lpstr>
      <vt:lpstr>T5.1 Descriptives</vt:lpstr>
      <vt:lpstr>T5.2 t-Test</vt:lpstr>
      <vt:lpstr>Fig5.3 Correlation</vt:lpstr>
      <vt:lpstr>ML Test Set</vt:lpstr>
      <vt:lpstr>T5.3 Model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2026-09-15T18:50:17Z</dcterms:created>
  <dcterms:modified xsi:type="dcterms:W3CDTF">2026-09-15T18:53:29Z</dcterms:modified>
  <dc:language>en-US</dc:language>
</cp:coreProperties>
</file>